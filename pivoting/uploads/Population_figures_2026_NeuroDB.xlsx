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Lenovo\Documents\in2uitions\neurodb\neurodb\pivoting\uploads\"/>
    </mc:Choice>
  </mc:AlternateContent>
  <xr:revisionPtr revIDLastSave="0" documentId="8_{135B5B21-4A8C-4603-BCD5-9081D5A9FFA2}" xr6:coauthVersionLast="47" xr6:coauthVersionMax="47" xr10:uidLastSave="{00000000-0000-0000-0000-000000000000}"/>
  <bookViews>
    <workbookView xWindow="-108" yWindow="-108" windowWidth="30936" windowHeight="16776" activeTab="3" xr2:uid="{00000000-000D-0000-FFFF-FFFF00000000}"/>
  </bookViews>
  <sheets>
    <sheet name="ALL_BY_GOVERNORATE" sheetId="1" r:id="rId1"/>
    <sheet name="ALL_BY_DISTRICT" sheetId="2" r:id="rId2"/>
    <sheet name="LEB_BY_GOVERNORATE" sheetId="3" r:id="rId3"/>
    <sheet name="LEB_BY_DISTRICT" sheetId="4" r:id="rId4"/>
    <sheet name="SYR_BY_GOVERNORATE" sheetId="5" r:id="rId5"/>
    <sheet name="SYR_BY_DISTRICT" sheetId="6" r:id="rId6"/>
    <sheet name="PAL_BY_GOVERNORATE" sheetId="7" r:id="rId7"/>
    <sheet name="PAL_BY_DISTRICT" sheetId="8" r:id="rId8"/>
    <sheet name="LEB_SOURCES" sheetId="9" r:id="rId9"/>
    <sheet name="PAL_SOURCES" sheetId="10" r:id="rId10"/>
    <sheet name="SYR_SOURC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7" i="2" l="1"/>
  <c r="AH26" i="2"/>
  <c r="AH25" i="2"/>
  <c r="AH24" i="2"/>
  <c r="AH23" i="2"/>
  <c r="AH22" i="2"/>
  <c r="AH21" i="2"/>
  <c r="AH20" i="2"/>
  <c r="AH19" i="2"/>
  <c r="AH18" i="2"/>
  <c r="AH17" i="2"/>
  <c r="AH16" i="2"/>
  <c r="AH15" i="2"/>
  <c r="AH14" i="2"/>
  <c r="AH13" i="2"/>
  <c r="AH12" i="2"/>
  <c r="AH11" i="2"/>
  <c r="AH10" i="2"/>
  <c r="AH9" i="2"/>
  <c r="AH8" i="2"/>
  <c r="AH7" i="2"/>
  <c r="AH6" i="2"/>
  <c r="AH5" i="2"/>
  <c r="AH4" i="2"/>
  <c r="AH3" i="2"/>
  <c r="AH2" i="2"/>
  <c r="AG27" i="2"/>
  <c r="AG26" i="2"/>
  <c r="AG25" i="2"/>
  <c r="AG24" i="2"/>
  <c r="AG23" i="2"/>
  <c r="AG22" i="2"/>
  <c r="AG21" i="2"/>
  <c r="AG20" i="2"/>
  <c r="AG19" i="2"/>
  <c r="AG18" i="2"/>
  <c r="AG17" i="2"/>
  <c r="AG16" i="2"/>
  <c r="AG15" i="2"/>
  <c r="AG14" i="2"/>
  <c r="AG13" i="2"/>
  <c r="AG12" i="2"/>
  <c r="AG11" i="2"/>
  <c r="AG10" i="2"/>
  <c r="AG9" i="2"/>
  <c r="AG8" i="2"/>
  <c r="AG7" i="2"/>
  <c r="AG6" i="2"/>
  <c r="AG5" i="2"/>
  <c r="AG4" i="2"/>
  <c r="AG3" i="2"/>
  <c r="AG2" i="2"/>
  <c r="AF27" i="2"/>
  <c r="AF26" i="2"/>
  <c r="AF25" i="2"/>
  <c r="AF24" i="2"/>
  <c r="AF23" i="2"/>
  <c r="AF22" i="2"/>
  <c r="AF21" i="2"/>
  <c r="AF20" i="2"/>
  <c r="AF19" i="2"/>
  <c r="AF18" i="2"/>
  <c r="AF17" i="2"/>
  <c r="AF16" i="2"/>
  <c r="AF15" i="2"/>
  <c r="AF14" i="2"/>
  <c r="AF13" i="2"/>
  <c r="AF12" i="2"/>
  <c r="AF11" i="2"/>
  <c r="AF10" i="2"/>
  <c r="AF9" i="2"/>
  <c r="AF8" i="2"/>
  <c r="AF7" i="2"/>
  <c r="AF6" i="2"/>
  <c r="AF5" i="2"/>
  <c r="AF4" i="2"/>
  <c r="AF3" i="2"/>
  <c r="AF2" i="2"/>
  <c r="AE27" i="2"/>
  <c r="AE26" i="2"/>
  <c r="AE25" i="2"/>
  <c r="AE24" i="2"/>
  <c r="AE23" i="2"/>
  <c r="AE22" i="2"/>
  <c r="AE21" i="2"/>
  <c r="AE20" i="2"/>
  <c r="AE19" i="2"/>
  <c r="AE18" i="2"/>
  <c r="AE17" i="2"/>
  <c r="AE16" i="2"/>
  <c r="AE15" i="2"/>
  <c r="AE14" i="2"/>
  <c r="AE13" i="2"/>
  <c r="AE12" i="2"/>
  <c r="AE11" i="2"/>
  <c r="AE10" i="2"/>
  <c r="AE9" i="2"/>
  <c r="AE8" i="2"/>
  <c r="AE7" i="2"/>
  <c r="AE6" i="2"/>
  <c r="AE5" i="2"/>
  <c r="AE4" i="2"/>
  <c r="AE3" i="2"/>
  <c r="AE2" i="2"/>
  <c r="AD27" i="2"/>
  <c r="AD26" i="2"/>
  <c r="AD25" i="2"/>
  <c r="AD24" i="2"/>
  <c r="AD23" i="2"/>
  <c r="AD22" i="2"/>
  <c r="AD21" i="2"/>
  <c r="AD20" i="2"/>
  <c r="AD19" i="2"/>
  <c r="AD18" i="2"/>
  <c r="AD17" i="2"/>
  <c r="AD16" i="2"/>
  <c r="AD15" i="2"/>
  <c r="AD14" i="2"/>
  <c r="AD13" i="2"/>
  <c r="AD12" i="2"/>
  <c r="AD11" i="2"/>
  <c r="AD10" i="2"/>
  <c r="AD9" i="2"/>
  <c r="AD8" i="2"/>
  <c r="AD7" i="2"/>
  <c r="AD6" i="2"/>
  <c r="AD5" i="2"/>
  <c r="AD4" i="2"/>
  <c r="AD3" i="2"/>
  <c r="AD2" i="2"/>
  <c r="AC27" i="2"/>
  <c r="AC26" i="2"/>
  <c r="AC25" i="2"/>
  <c r="AC24" i="2"/>
  <c r="AC23" i="2"/>
  <c r="AC22" i="2"/>
  <c r="AC21" i="2"/>
  <c r="AC20" i="2"/>
  <c r="AC19" i="2"/>
  <c r="AC18" i="2"/>
  <c r="AC17" i="2"/>
  <c r="AC16" i="2"/>
  <c r="AC15" i="2"/>
  <c r="AC14" i="2"/>
  <c r="AC13" i="2"/>
  <c r="AC12" i="2"/>
  <c r="AC11" i="2"/>
  <c r="AC10" i="2"/>
  <c r="AC9" i="2"/>
  <c r="AC8" i="2"/>
  <c r="AC7" i="2"/>
  <c r="AC6" i="2"/>
  <c r="AC5" i="2"/>
  <c r="AC4" i="2"/>
  <c r="AC3" i="2"/>
  <c r="AC2" i="2"/>
  <c r="AB27" i="2"/>
  <c r="AB26" i="2"/>
  <c r="AB25" i="2"/>
  <c r="AB24" i="2"/>
  <c r="AB23" i="2"/>
  <c r="AB22" i="2"/>
  <c r="AB21" i="2"/>
  <c r="AB20" i="2"/>
  <c r="AB19" i="2"/>
  <c r="AB18" i="2"/>
  <c r="AB17" i="2"/>
  <c r="AB16" i="2"/>
  <c r="AB15" i="2"/>
  <c r="AB14" i="2"/>
  <c r="AB13" i="2"/>
  <c r="AB12" i="2"/>
  <c r="AB11" i="2"/>
  <c r="AB10" i="2"/>
  <c r="AB9" i="2"/>
  <c r="AB8" i="2"/>
  <c r="AB7" i="2"/>
  <c r="AB6" i="2"/>
  <c r="AB5" i="2"/>
  <c r="AB4" i="2"/>
  <c r="AB3" i="2"/>
  <c r="AB2"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c r="Z27" i="2"/>
  <c r="Z26" i="2"/>
  <c r="Z25" i="2"/>
  <c r="Z24" i="2"/>
  <c r="Z23" i="2"/>
  <c r="Z22" i="2"/>
  <c r="Z21" i="2"/>
  <c r="Z20" i="2"/>
  <c r="Z19" i="2"/>
  <c r="Z18" i="2"/>
  <c r="Z17" i="2"/>
  <c r="Z16" i="2"/>
  <c r="Z15" i="2"/>
  <c r="Z14" i="2"/>
  <c r="Z13" i="2"/>
  <c r="Z12" i="2"/>
  <c r="Z11" i="2"/>
  <c r="Z10" i="2"/>
  <c r="Z9" i="2"/>
  <c r="Z8" i="2"/>
  <c r="Z7" i="2"/>
  <c r="Z6" i="2"/>
  <c r="Z5" i="2"/>
  <c r="Z4" i="2"/>
  <c r="Z3" i="2"/>
  <c r="Z2" i="2"/>
  <c r="Y27" i="2"/>
  <c r="Y26" i="2"/>
  <c r="Y25" i="2"/>
  <c r="Y24" i="2"/>
  <c r="Y23" i="2"/>
  <c r="Y22" i="2"/>
  <c r="Y21" i="2"/>
  <c r="Y20" i="2"/>
  <c r="Y19" i="2"/>
  <c r="Y18" i="2"/>
  <c r="Y17" i="2"/>
  <c r="Y16" i="2"/>
  <c r="Y15" i="2"/>
  <c r="Y14" i="2"/>
  <c r="Y13" i="2"/>
  <c r="Y12" i="2"/>
  <c r="Y11" i="2"/>
  <c r="Y10" i="2"/>
  <c r="Y9" i="2"/>
  <c r="Y8" i="2"/>
  <c r="Y7" i="2"/>
  <c r="Y6" i="2"/>
  <c r="Y5" i="2"/>
  <c r="Y4" i="2"/>
  <c r="Y3" i="2"/>
  <c r="Y2" i="2"/>
  <c r="X27" i="2"/>
  <c r="X26" i="2"/>
  <c r="X25" i="2"/>
  <c r="X24" i="2"/>
  <c r="X23" i="2"/>
  <c r="X22" i="2"/>
  <c r="X21" i="2"/>
  <c r="X20" i="2"/>
  <c r="X19" i="2"/>
  <c r="X18" i="2"/>
  <c r="X17" i="2"/>
  <c r="X16" i="2"/>
  <c r="X15" i="2"/>
  <c r="X14" i="2"/>
  <c r="X13" i="2"/>
  <c r="X12" i="2"/>
  <c r="X11" i="2"/>
  <c r="X10" i="2"/>
  <c r="X9" i="2"/>
  <c r="X8" i="2"/>
  <c r="X7" i="2"/>
  <c r="X6" i="2"/>
  <c r="X5" i="2"/>
  <c r="X4" i="2"/>
  <c r="X3" i="2"/>
  <c r="X2" i="2"/>
  <c r="W27" i="2"/>
  <c r="W26" i="2"/>
  <c r="W25" i="2"/>
  <c r="W24" i="2"/>
  <c r="W23" i="2"/>
  <c r="W22" i="2"/>
  <c r="W21" i="2"/>
  <c r="W20" i="2"/>
  <c r="W19" i="2"/>
  <c r="W18" i="2"/>
  <c r="W17" i="2"/>
  <c r="W16" i="2"/>
  <c r="W15" i="2"/>
  <c r="W14" i="2"/>
  <c r="W13" i="2"/>
  <c r="W12" i="2"/>
  <c r="W11" i="2"/>
  <c r="W10" i="2"/>
  <c r="W9" i="2"/>
  <c r="W8" i="2"/>
  <c r="W7" i="2"/>
  <c r="W6" i="2"/>
  <c r="W5" i="2"/>
  <c r="W4" i="2"/>
  <c r="W3" i="2"/>
  <c r="W2" i="2"/>
  <c r="V27" i="2"/>
  <c r="V26" i="2"/>
  <c r="V25" i="2"/>
  <c r="V24" i="2"/>
  <c r="V23" i="2"/>
  <c r="V22" i="2"/>
  <c r="V21" i="2"/>
  <c r="V20" i="2"/>
  <c r="V19" i="2"/>
  <c r="V18" i="2"/>
  <c r="V17" i="2"/>
  <c r="V16" i="2"/>
  <c r="V15" i="2"/>
  <c r="V14" i="2"/>
  <c r="V13" i="2"/>
  <c r="V12" i="2"/>
  <c r="V11" i="2"/>
  <c r="V10" i="2"/>
  <c r="V9" i="2"/>
  <c r="V8" i="2"/>
  <c r="V7" i="2"/>
  <c r="V6" i="2"/>
  <c r="V5" i="2"/>
  <c r="V4" i="2"/>
  <c r="V3" i="2"/>
  <c r="V2" i="2"/>
  <c r="U27" i="2"/>
  <c r="U26" i="2"/>
  <c r="U25" i="2"/>
  <c r="U24" i="2"/>
  <c r="U23" i="2"/>
  <c r="U22" i="2"/>
  <c r="U21" i="2"/>
  <c r="U20" i="2"/>
  <c r="U19" i="2"/>
  <c r="U18" i="2"/>
  <c r="U17" i="2"/>
  <c r="U16" i="2"/>
  <c r="U15" i="2"/>
  <c r="U14" i="2"/>
  <c r="U13" i="2"/>
  <c r="U12" i="2"/>
  <c r="U11" i="2"/>
  <c r="U10" i="2"/>
  <c r="U9" i="2"/>
  <c r="U8" i="2"/>
  <c r="U7" i="2"/>
  <c r="U6" i="2"/>
  <c r="U5" i="2"/>
  <c r="U4" i="2"/>
  <c r="U3" i="2"/>
  <c r="U2" i="2"/>
  <c r="T27" i="2"/>
  <c r="T26" i="2"/>
  <c r="T25" i="2"/>
  <c r="T24" i="2"/>
  <c r="T23" i="2"/>
  <c r="T22" i="2"/>
  <c r="T21" i="2"/>
  <c r="T20" i="2"/>
  <c r="T19" i="2"/>
  <c r="T18" i="2"/>
  <c r="T17" i="2"/>
  <c r="T16" i="2"/>
  <c r="T15" i="2"/>
  <c r="T14" i="2"/>
  <c r="T13" i="2"/>
  <c r="T12" i="2"/>
  <c r="T11" i="2"/>
  <c r="T10" i="2"/>
  <c r="T9" i="2"/>
  <c r="T8" i="2"/>
  <c r="T7" i="2"/>
  <c r="T6" i="2"/>
  <c r="T5" i="2"/>
  <c r="T4" i="2"/>
  <c r="T3" i="2"/>
  <c r="T2" i="2"/>
  <c r="S27" i="2"/>
  <c r="S26" i="2"/>
  <c r="S25" i="2"/>
  <c r="S24" i="2"/>
  <c r="S23" i="2"/>
  <c r="S22" i="2"/>
  <c r="S21" i="2"/>
  <c r="S20" i="2"/>
  <c r="S19" i="2"/>
  <c r="S18" i="2"/>
  <c r="S17" i="2"/>
  <c r="S16" i="2"/>
  <c r="S15" i="2"/>
  <c r="S14" i="2"/>
  <c r="S13" i="2"/>
  <c r="S12" i="2"/>
  <c r="S11" i="2"/>
  <c r="S10" i="2"/>
  <c r="S9" i="2"/>
  <c r="S8" i="2"/>
  <c r="S7" i="2"/>
  <c r="S6" i="2"/>
  <c r="S5" i="2"/>
  <c r="S4" i="2"/>
  <c r="S3" i="2"/>
  <c r="S2" i="2"/>
  <c r="R27" i="2"/>
  <c r="R26" i="2"/>
  <c r="R25" i="2"/>
  <c r="R24" i="2"/>
  <c r="R23" i="2"/>
  <c r="R22" i="2"/>
  <c r="R21" i="2"/>
  <c r="R20" i="2"/>
  <c r="R19" i="2"/>
  <c r="R18" i="2"/>
  <c r="R17" i="2"/>
  <c r="R16" i="2"/>
  <c r="R15" i="2"/>
  <c r="R14" i="2"/>
  <c r="R13" i="2"/>
  <c r="R12" i="2"/>
  <c r="R11" i="2"/>
  <c r="R10" i="2"/>
  <c r="R9" i="2"/>
  <c r="R8" i="2"/>
  <c r="R7" i="2"/>
  <c r="R6" i="2"/>
  <c r="R5" i="2"/>
  <c r="R4" i="2"/>
  <c r="R3" i="2"/>
  <c r="R2" i="2"/>
  <c r="Q3" i="2"/>
  <c r="Q4" i="2"/>
  <c r="Q5" i="2"/>
  <c r="Q6" i="2"/>
  <c r="Q7" i="2"/>
  <c r="Q8" i="2"/>
  <c r="Q9" i="2"/>
  <c r="Q10" i="2"/>
  <c r="Q11" i="2"/>
  <c r="Q12" i="2"/>
  <c r="Q13" i="2"/>
  <c r="Q14" i="2"/>
  <c r="Q15" i="2"/>
  <c r="Q16" i="2"/>
  <c r="Q17" i="2"/>
  <c r="Q18" i="2"/>
  <c r="Q19" i="2"/>
  <c r="Q20" i="2"/>
  <c r="Q21" i="2"/>
  <c r="Q22" i="2"/>
  <c r="Q23" i="2"/>
  <c r="Q24" i="2"/>
  <c r="Q25" i="2"/>
  <c r="Q26" i="2"/>
  <c r="Q27" i="2"/>
  <c r="Q2" i="2"/>
  <c r="AH9" i="1"/>
  <c r="AH8" i="1"/>
  <c r="AH7" i="1"/>
  <c r="AH6" i="1"/>
  <c r="AH5" i="1"/>
  <c r="AH4" i="1"/>
  <c r="AH3" i="1"/>
  <c r="AH2" i="1"/>
  <c r="AG9" i="1"/>
  <c r="AG8" i="1"/>
  <c r="AG7" i="1"/>
  <c r="AG6" i="1"/>
  <c r="AG5" i="1"/>
  <c r="AG4" i="1"/>
  <c r="AG3" i="1"/>
  <c r="AG2" i="1"/>
  <c r="AF9" i="1"/>
  <c r="AF8" i="1"/>
  <c r="AF7" i="1"/>
  <c r="AF6" i="1"/>
  <c r="AF5" i="1"/>
  <c r="AF4" i="1"/>
  <c r="AF3" i="1"/>
  <c r="AF2" i="1"/>
  <c r="AE9" i="1"/>
  <c r="AE8" i="1"/>
  <c r="AE7" i="1"/>
  <c r="AE6" i="1"/>
  <c r="AE5" i="1"/>
  <c r="AE4" i="1"/>
  <c r="AE3" i="1"/>
  <c r="AE2" i="1"/>
  <c r="AD9" i="1"/>
  <c r="AD8" i="1"/>
  <c r="AD7" i="1"/>
  <c r="AD6" i="1"/>
  <c r="AD5" i="1"/>
  <c r="AD4" i="1"/>
  <c r="AD3" i="1"/>
  <c r="AD2" i="1"/>
  <c r="AC9" i="1"/>
  <c r="AC8" i="1"/>
  <c r="AC7" i="1"/>
  <c r="AC6" i="1"/>
  <c r="AC5" i="1"/>
  <c r="AC4" i="1"/>
  <c r="AC3" i="1"/>
  <c r="AC2" i="1"/>
  <c r="AB9" i="1"/>
  <c r="AB8" i="1"/>
  <c r="AB7" i="1"/>
  <c r="AB6" i="1"/>
  <c r="AB5" i="1"/>
  <c r="AB4" i="1"/>
  <c r="AB3" i="1"/>
  <c r="AB2" i="1"/>
  <c r="AA9" i="1"/>
  <c r="AA8" i="1"/>
  <c r="AA7" i="1"/>
  <c r="AA6" i="1"/>
  <c r="AA5" i="1"/>
  <c r="AA4" i="1"/>
  <c r="AA3" i="1"/>
  <c r="AA2" i="1"/>
  <c r="Z9" i="1"/>
  <c r="Z8" i="1"/>
  <c r="Z7" i="1"/>
  <c r="Z6" i="1"/>
  <c r="Z5" i="1"/>
  <c r="Z4" i="1"/>
  <c r="Z3" i="1"/>
  <c r="Z2" i="1"/>
  <c r="Y9" i="1"/>
  <c r="Y8" i="1"/>
  <c r="Y7" i="1"/>
  <c r="Y6" i="1"/>
  <c r="Y5" i="1"/>
  <c r="Y4" i="1"/>
  <c r="Y3" i="1"/>
  <c r="Y2" i="1"/>
  <c r="X9" i="1"/>
  <c r="X8" i="1"/>
  <c r="X7" i="1"/>
  <c r="X6" i="1"/>
  <c r="X5" i="1"/>
  <c r="X4" i="1"/>
  <c r="X3" i="1"/>
  <c r="X2" i="1"/>
  <c r="W9" i="1"/>
  <c r="W8" i="1"/>
  <c r="W7" i="1"/>
  <c r="W6" i="1"/>
  <c r="W5" i="1"/>
  <c r="W4" i="1"/>
  <c r="W3" i="1"/>
  <c r="W2" i="1"/>
  <c r="V9" i="1"/>
  <c r="V8" i="1"/>
  <c r="V7" i="1"/>
  <c r="V6" i="1"/>
  <c r="V5" i="1"/>
  <c r="V4" i="1"/>
  <c r="V3" i="1"/>
  <c r="V2" i="1"/>
  <c r="U9" i="1"/>
  <c r="U8" i="1"/>
  <c r="U7" i="1"/>
  <c r="U6" i="1"/>
  <c r="U5" i="1"/>
  <c r="U4" i="1"/>
  <c r="U3" i="1"/>
  <c r="U2" i="1"/>
  <c r="T9" i="1"/>
  <c r="T8" i="1"/>
  <c r="T7" i="1"/>
  <c r="T6" i="1"/>
  <c r="T5" i="1"/>
  <c r="T4" i="1"/>
  <c r="T3" i="1"/>
  <c r="T2" i="1"/>
  <c r="S9" i="1"/>
  <c r="S8" i="1"/>
  <c r="S7" i="1"/>
  <c r="S6" i="1"/>
  <c r="S5" i="1"/>
  <c r="S4" i="1"/>
  <c r="S3" i="1"/>
  <c r="S2" i="1"/>
  <c r="R3" i="1"/>
  <c r="R4" i="1"/>
  <c r="R5" i="1"/>
  <c r="R6" i="1"/>
  <c r="R7" i="1"/>
  <c r="R8" i="1"/>
  <c r="R9" i="1"/>
  <c r="R2" i="1"/>
  <c r="Q3" i="1"/>
  <c r="Q4" i="1"/>
  <c r="Q5" i="1"/>
  <c r="Q6" i="1"/>
  <c r="Q7" i="1"/>
  <c r="Q8" i="1"/>
  <c r="Q9" i="1"/>
  <c r="Q2" i="1"/>
</calcChain>
</file>

<file path=xl/sharedStrings.xml><?xml version="1.0" encoding="utf-8"?>
<sst xmlns="http://schemas.openxmlformats.org/spreadsheetml/2006/main" count="368" uniqueCount="91">
  <si>
    <t>Governorate</t>
  </si>
  <si>
    <t>TOTAL LEBANESE</t>
  </si>
  <si>
    <t>All Lebanese Female</t>
  </si>
  <si>
    <t>All Lebanese Male</t>
  </si>
  <si>
    <t>TOTAL PALESTINIANS</t>
  </si>
  <si>
    <t>Palestinian Refugees in Lebanon (PRL)</t>
  </si>
  <si>
    <t>Palestinian Refugees from Syrian (PRS)</t>
  </si>
  <si>
    <t>All Palestinian Female</t>
  </si>
  <si>
    <t>All Palestinian Male</t>
  </si>
  <si>
    <t>TOTAL SYRIANS</t>
  </si>
  <si>
    <t>All Syrians Female</t>
  </si>
  <si>
    <t>All Syrians Male</t>
  </si>
  <si>
    <t>TOTAL POPULATION</t>
  </si>
  <si>
    <t>Age
0 - 4</t>
  </si>
  <si>
    <t xml:space="preserve">  5 - 9</t>
  </si>
  <si>
    <t>10 - 14</t>
  </si>
  <si>
    <t>15 - 19</t>
  </si>
  <si>
    <t>20 - 24</t>
  </si>
  <si>
    <t>25 - 29</t>
  </si>
  <si>
    <t>30 - 34</t>
  </si>
  <si>
    <t>35 - 39</t>
  </si>
  <si>
    <t>40 - 44</t>
  </si>
  <si>
    <t>45 - 49</t>
  </si>
  <si>
    <t>50 - 54</t>
  </si>
  <si>
    <t>55 - 59</t>
  </si>
  <si>
    <t>60 - 64</t>
  </si>
  <si>
    <t>65 - 69</t>
  </si>
  <si>
    <t>70 - 74</t>
  </si>
  <si>
    <t>75 - 79</t>
  </si>
  <si>
    <t>80 - 84</t>
  </si>
  <si>
    <t>85 and above</t>
  </si>
  <si>
    <t>Akkar</t>
  </si>
  <si>
    <t>Baalbek-El Hermel</t>
  </si>
  <si>
    <t>Beirut</t>
  </si>
  <si>
    <t>Bekaa</t>
  </si>
  <si>
    <t>Mount Lebanon</t>
  </si>
  <si>
    <t>El Nabatieh</t>
  </si>
  <si>
    <t>North</t>
  </si>
  <si>
    <t>South</t>
  </si>
  <si>
    <t>Baalbek</t>
  </si>
  <si>
    <t>El Hermel</t>
  </si>
  <si>
    <t>Rachaya</t>
  </si>
  <si>
    <t>West Bekaa</t>
  </si>
  <si>
    <t>Zahle</t>
  </si>
  <si>
    <t>Aley</t>
  </si>
  <si>
    <t>Baabda</t>
  </si>
  <si>
    <t>Chouf</t>
  </si>
  <si>
    <t>El Meten</t>
  </si>
  <si>
    <t>Jbeil</t>
  </si>
  <si>
    <t>Kesrwane</t>
  </si>
  <si>
    <t>Bent Jbeil</t>
  </si>
  <si>
    <t>Hasbaya</t>
  </si>
  <si>
    <t>Marjaayoun</t>
  </si>
  <si>
    <t>Bcharre</t>
  </si>
  <si>
    <t>El Batroun</t>
  </si>
  <si>
    <t>El Koura</t>
  </si>
  <si>
    <t>El Minieh-Dennie</t>
  </si>
  <si>
    <t>Tripoli</t>
  </si>
  <si>
    <t>Zgharta</t>
  </si>
  <si>
    <t>Jezzine</t>
  </si>
  <si>
    <t>Saida</t>
  </si>
  <si>
    <t>Sour</t>
  </si>
  <si>
    <t>Distribution %</t>
  </si>
  <si>
    <t>Syrian_Est</t>
  </si>
  <si>
    <t xml:space="preserve"> PRL - Camps Population</t>
  </si>
  <si>
    <t>PRL - Gatherings Population</t>
  </si>
  <si>
    <t>Total PRL</t>
  </si>
  <si>
    <t>PRS in Camps</t>
  </si>
  <si>
    <t>PRS outside Camps</t>
  </si>
  <si>
    <t>Total PRS</t>
  </si>
  <si>
    <t xml:space="preserve">  Age
 0 - 4</t>
  </si>
  <si>
    <t xml:space="preserve">  Age
0 - 4</t>
  </si>
  <si>
    <t>TOTAL MIGRANTS</t>
  </si>
  <si>
    <t>Source for Palestinians:</t>
  </si>
  <si>
    <t>PRS data: UNRWA 2024 Digital Individual Verification Data</t>
  </si>
  <si>
    <t>PRL data: UNRWA annual average service delivery reports (all services)</t>
  </si>
  <si>
    <t>Source for Lebanese:</t>
  </si>
  <si>
    <t>Labour Force and Household Living Conditions Survey (LFHLCS) 2018–2019 (CAS, ILO)</t>
  </si>
  <si>
    <t>Source for Syrians:</t>
  </si>
  <si>
    <t>Nabatieh</t>
  </si>
  <si>
    <t>District</t>
  </si>
  <si>
    <t>UNHCR Registration and Assistance Databases (as of 30 July 2025)</t>
  </si>
  <si>
    <t>The updated number of Syrians in Lebanon reflects a change based on four factors:</t>
  </si>
  <si>
    <t>(1) Individuals who have been inactivated from UNHCR’s registration records due to verified or presumed spontaneous/unassisted return in 2025.</t>
  </si>
  <si>
    <t>(2) Those who returned in 2025 through UNHCR’s facilitated return programme.</t>
  </si>
  <si>
    <t>(3) Those expected to return and inactivated by mid-2026.</t>
  </si>
  <si>
    <t>(4) New arrivals who entered Lebanon after December 2024.</t>
  </si>
  <si>
    <t>The total number of displaced Syrians in Lebanon for 2026 is calculated after taking into account the number of Syrians who have returned to Syria, the number of Syrians estimated to return by mid-2026, the number of Syrians who were inactivated from UNHCR’s database, and the number of Syrians who newly arrived in Lebanon after December 8, 2024. The resulting total 1.12 million displaced Syrians includes 1 million displaced Syrians who have not yet returned to Syria and 120,000 newly arrived after December 8, 2024.</t>
  </si>
  <si>
    <t>IOM/DTM Round 87, As of 31 May 2025</t>
  </si>
  <si>
    <t>All Migrants Female</t>
  </si>
  <si>
    <t>All Migrants 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</si>
</sst>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 &quot;#,##0&quot; &quot;;&quot; &quot;&quot;(&quot;#,##0&quot;)&quot;;&quot; &quot;&quot;-&quot;#&quot; &quot;;&quot; &quot;@&quot; &quot;"/>
    <numFmt numFmtId="165" formatCode="0.0%"/>
    <numFmt numFmtId="166" formatCode="&quot; &quot;#,##0.00&quot; &quot;;&quot; &quot;&quot;(&quot;#,##0.00&quot;)&quot;;&quot; &quot;&quot;-&quot;#&quot; &quot;;&quot; &quot;@&quot; &quot;"/>
    <numFmt numFmtId="167" formatCode="_(* #,##0_);_(* \(#,##0\);_(* &quot;-&quot;??_);_(@_)"/>
  </numFmts>
  <fonts count="28">
    <font>
      <sz val="10"/>
      <color theme="1"/>
      <name val="Liberation Sans"/>
    </font>
    <font>
      <sz val="11"/>
      <color theme="1"/>
      <name val="Calibri"/>
      <family val="2"/>
      <scheme val="minor"/>
    </font>
    <font>
      <sz val="10"/>
      <color theme="1"/>
      <name val="Liberation Sans"/>
    </font>
    <font>
      <b/>
      <sz val="10"/>
      <color rgb="FF000000"/>
      <name val="Liberation Sans"/>
    </font>
    <font>
      <sz val="10"/>
      <color rgb="FFFFFFFF"/>
      <name val="Liberation Sans"/>
    </font>
    <font>
      <sz val="10"/>
      <color rgb="FFCC0000"/>
      <name val="Liberation Sans"/>
    </font>
    <font>
      <b/>
      <sz val="10"/>
      <color rgb="FFFFFFFF"/>
      <name val="Liberation Sans"/>
    </font>
    <font>
      <i/>
      <sz val="10"/>
      <color rgb="FF808080"/>
      <name val="Liberation Sans"/>
    </font>
    <font>
      <sz val="10"/>
      <color rgb="FF006600"/>
      <name val="Liberation Sans"/>
    </font>
    <font>
      <b/>
      <sz val="24"/>
      <color rgb="FF0000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1"/>
      <color rgb="FF000000"/>
      <name val="Arial"/>
      <family val="2"/>
    </font>
    <font>
      <sz val="10"/>
      <color rgb="FF333333"/>
      <name val="Liberation Sans"/>
    </font>
    <font>
      <b/>
      <i/>
      <u/>
      <sz val="10"/>
      <color rgb="FF000000"/>
      <name val="Liberation Sans"/>
    </font>
    <font>
      <b/>
      <sz val="10"/>
      <color rgb="FF4472C4"/>
      <name val="Arial"/>
      <family val="2"/>
    </font>
    <font>
      <sz val="11"/>
      <color rgb="FF4472C4"/>
      <name val="Arial"/>
      <family val="2"/>
    </font>
    <font>
      <sz val="10"/>
      <color rgb="FF000000"/>
      <name val="Cambria"/>
      <family val="1"/>
    </font>
    <font>
      <b/>
      <u/>
      <sz val="10"/>
      <color rgb="FF000000"/>
      <name val="Cambria"/>
      <family val="1"/>
    </font>
    <font>
      <sz val="9"/>
      <color rgb="FF000000"/>
      <name val="Cambria"/>
      <family val="1"/>
    </font>
    <font>
      <sz val="11"/>
      <color theme="1" tint="0.249977111117893"/>
      <name val="Arial"/>
      <family val="2"/>
    </font>
    <font>
      <b/>
      <sz val="10"/>
      <color theme="8"/>
      <name val="Arial"/>
      <family val="2"/>
    </font>
    <font>
      <sz val="11"/>
      <name val="Arial"/>
      <family val="2"/>
    </font>
    <font>
      <b/>
      <sz val="11"/>
      <color rgb="FF000000"/>
      <name val="Arial"/>
      <family val="2"/>
    </font>
    <font>
      <b/>
      <i/>
      <sz val="11"/>
      <color theme="1"/>
      <name val="Aptos"/>
      <family val="2"/>
    </font>
    <font>
      <i/>
      <sz val="11"/>
      <color theme="1"/>
      <name val="Aptos"/>
      <family val="2"/>
    </font>
  </fonts>
  <fills count="13">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2F2F2"/>
        <bgColor rgb="FFF2F2F2"/>
      </patternFill>
    </fill>
    <fill>
      <patternFill patternType="solid">
        <fgColor theme="0" tint="-4.9989318521683403E-2"/>
        <bgColor indexed="64"/>
      </patternFill>
    </fill>
    <fill>
      <patternFill patternType="solid">
        <fgColor theme="8" tint="-0.249977111117893"/>
        <bgColor indexed="64"/>
      </patternFill>
    </fill>
    <fill>
      <patternFill patternType="solid">
        <fgColor theme="8" tint="0.39997558519241921"/>
        <bgColor indexed="64"/>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bottom style="thin">
        <color rgb="FF000000"/>
      </bottom>
      <diagonal/>
    </border>
    <border>
      <left/>
      <right/>
      <top/>
      <bottom style="thin">
        <color indexed="64"/>
      </bottom>
      <diagonal/>
    </border>
  </borders>
  <cellStyleXfs count="24">
    <xf numFmtId="0" fontId="0" fillId="0" borderId="0"/>
    <xf numFmtId="9" fontId="1" fillId="0" borderId="0" applyFont="0" applyFill="0" applyBorder="0" applyAlignment="0" applyProtection="0"/>
    <xf numFmtId="0" fontId="10" fillId="0" borderId="0"/>
    <xf numFmtId="0" fontId="11" fillId="0" borderId="0"/>
    <xf numFmtId="0" fontId="8" fillId="7" borderId="0"/>
    <xf numFmtId="0" fontId="5" fillId="5" borderId="0"/>
    <xf numFmtId="0" fontId="13" fillId="8" borderId="0"/>
    <xf numFmtId="0" fontId="15" fillId="8" borderId="1"/>
    <xf numFmtId="0" fontId="3" fillId="0" borderId="0"/>
    <xf numFmtId="0" fontId="4" fillId="2" borderId="0"/>
    <xf numFmtId="0" fontId="4" fillId="3" borderId="0"/>
    <xf numFmtId="0" fontId="3" fillId="4" borderId="0"/>
    <xf numFmtId="166" fontId="2" fillId="0" borderId="0"/>
    <xf numFmtId="0" fontId="6" fillId="6" borderId="0"/>
    <xf numFmtId="9" fontId="2" fillId="0" borderId="0"/>
    <xf numFmtId="0" fontId="7" fillId="0" borderId="0"/>
    <xf numFmtId="0" fontId="9" fillId="0" borderId="0"/>
    <xf numFmtId="0" fontId="12" fillId="0" borderId="0"/>
    <xf numFmtId="0" fontId="14" fillId="0" borderId="0"/>
    <xf numFmtId="9" fontId="2" fillId="0" borderId="0"/>
    <xf numFmtId="0" fontId="16" fillId="0" borderId="0"/>
    <xf numFmtId="0" fontId="2" fillId="0" borderId="0"/>
    <xf numFmtId="0" fontId="2" fillId="0" borderId="0"/>
    <xf numFmtId="0" fontId="5" fillId="0" borderId="0"/>
  </cellStyleXfs>
  <cellXfs count="42">
    <xf numFmtId="0" fontId="0" fillId="0" borderId="0" xfId="0"/>
    <xf numFmtId="0" fontId="17" fillId="0" borderId="2" xfId="18" applyFont="1" applyBorder="1" applyAlignment="1">
      <alignment wrapText="1"/>
    </xf>
    <xf numFmtId="0" fontId="17" fillId="0" borderId="2" xfId="18" applyFont="1" applyBorder="1" applyAlignment="1">
      <alignment horizontal="right" wrapText="1"/>
    </xf>
    <xf numFmtId="0" fontId="18" fillId="0" borderId="2" xfId="18" applyFont="1" applyBorder="1" applyAlignment="1">
      <alignment wrapText="1"/>
    </xf>
    <xf numFmtId="0" fontId="14" fillId="0" borderId="0" xfId="18"/>
    <xf numFmtId="0" fontId="14" fillId="9" borderId="0" xfId="18" applyFill="1"/>
    <xf numFmtId="164" fontId="14" fillId="0" borderId="0" xfId="18" applyNumberFormat="1"/>
    <xf numFmtId="164" fontId="14" fillId="9" borderId="0" xfId="18" applyNumberFormat="1" applyFill="1"/>
    <xf numFmtId="0" fontId="20" fillId="0" borderId="0" xfId="0" applyFont="1" applyAlignment="1">
      <alignment vertical="center"/>
    </xf>
    <xf numFmtId="0" fontId="14" fillId="0" borderId="0" xfId="18" applyAlignment="1">
      <alignment horizontal="right"/>
    </xf>
    <xf numFmtId="0" fontId="19" fillId="0" borderId="0" xfId="0" applyFont="1" applyAlignment="1">
      <alignment horizontal="left" vertical="center"/>
    </xf>
    <xf numFmtId="49" fontId="21" fillId="0" borderId="0" xfId="0" applyNumberFormat="1" applyFont="1" applyAlignment="1">
      <alignment vertical="center"/>
    </xf>
    <xf numFmtId="164" fontId="14" fillId="0" borderId="0" xfId="18" applyNumberFormat="1" applyAlignment="1">
      <alignment horizontal="right"/>
    </xf>
    <xf numFmtId="167" fontId="14" fillId="0" borderId="0" xfId="18" applyNumberFormat="1"/>
    <xf numFmtId="0" fontId="14" fillId="10" borderId="0" xfId="18" applyFill="1"/>
    <xf numFmtId="167" fontId="14" fillId="10" borderId="0" xfId="18" applyNumberFormat="1" applyFill="1"/>
    <xf numFmtId="167" fontId="22" fillId="10" borderId="0" xfId="18" applyNumberFormat="1" applyFont="1" applyFill="1" applyAlignment="1">
      <alignment horizontal="right"/>
    </xf>
    <xf numFmtId="167" fontId="22" fillId="0" borderId="0" xfId="18" applyNumberFormat="1" applyFont="1" applyAlignment="1">
      <alignment horizontal="right"/>
    </xf>
    <xf numFmtId="9" fontId="22" fillId="0" borderId="0" xfId="1" applyFont="1" applyAlignment="1">
      <alignment horizontal="right"/>
    </xf>
    <xf numFmtId="167" fontId="22" fillId="10" borderId="0" xfId="18" applyNumberFormat="1" applyFont="1" applyFill="1"/>
    <xf numFmtId="9" fontId="22" fillId="10" borderId="0" xfId="1" applyFont="1" applyFill="1"/>
    <xf numFmtId="167" fontId="22" fillId="0" borderId="0" xfId="18" applyNumberFormat="1" applyFont="1"/>
    <xf numFmtId="9" fontId="22" fillId="0" borderId="0" xfId="1" applyFont="1"/>
    <xf numFmtId="9" fontId="22" fillId="10" borderId="0" xfId="1" applyFont="1" applyFill="1" applyAlignment="1">
      <alignment horizontal="right"/>
    </xf>
    <xf numFmtId="9" fontId="22" fillId="0" borderId="0" xfId="19" applyFont="1"/>
    <xf numFmtId="9" fontId="22" fillId="10" borderId="0" xfId="19" applyFont="1" applyFill="1"/>
    <xf numFmtId="165" fontId="22" fillId="10" borderId="0" xfId="19" applyNumberFormat="1" applyFont="1" applyFill="1"/>
    <xf numFmtId="167" fontId="22" fillId="10" borderId="0" xfId="12" applyNumberFormat="1" applyFont="1" applyFill="1"/>
    <xf numFmtId="167" fontId="22" fillId="0" borderId="0" xfId="12" applyNumberFormat="1" applyFont="1"/>
    <xf numFmtId="165" fontId="22" fillId="0" borderId="0" xfId="19" applyNumberFormat="1" applyFont="1"/>
    <xf numFmtId="0" fontId="23" fillId="0" borderId="3" xfId="18" applyFont="1" applyBorder="1" applyAlignment="1">
      <alignment wrapText="1"/>
    </xf>
    <xf numFmtId="0" fontId="23" fillId="0" borderId="3" xfId="18" applyFont="1" applyBorder="1" applyAlignment="1">
      <alignment horizontal="right" wrapText="1"/>
    </xf>
    <xf numFmtId="167" fontId="24" fillId="0" borderId="0" xfId="18" applyNumberFormat="1" applyFont="1"/>
    <xf numFmtId="9" fontId="22" fillId="0" borderId="0" xfId="1" applyFont="1" applyFill="1" applyAlignment="1">
      <alignment horizontal="right"/>
    </xf>
    <xf numFmtId="9" fontId="22" fillId="0" borderId="0" xfId="1" applyFont="1" applyFill="1"/>
    <xf numFmtId="0" fontId="23" fillId="11" borderId="3" xfId="18" applyFont="1" applyFill="1" applyBorder="1" applyAlignment="1">
      <alignment horizontal="right" wrapText="1"/>
    </xf>
    <xf numFmtId="167" fontId="14" fillId="11" borderId="0" xfId="18" applyNumberFormat="1" applyFill="1"/>
    <xf numFmtId="0" fontId="25" fillId="12" borderId="0" xfId="0" applyFont="1" applyFill="1" applyAlignment="1">
      <alignment vertical="center"/>
    </xf>
    <xf numFmtId="0" fontId="14"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27" fillId="0" borderId="0" xfId="0" applyFont="1" applyAlignment="1">
      <alignment vertical="center" wrapText="1"/>
    </xf>
  </cellXfs>
  <cellStyles count="24">
    <cellStyle name="Accent" xfId="8" xr:uid="{00000000-0005-0000-0000-000000000000}"/>
    <cellStyle name="Accent 1" xfId="9" xr:uid="{00000000-0005-0000-0000-000001000000}"/>
    <cellStyle name="Accent 2" xfId="10" xr:uid="{00000000-0005-0000-0000-000002000000}"/>
    <cellStyle name="Accent 3" xfId="11" xr:uid="{00000000-0005-0000-0000-000003000000}"/>
    <cellStyle name="Bad" xfId="5" builtinId="27" customBuiltin="1"/>
    <cellStyle name="Comma 3" xfId="12" xr:uid="{00000000-0005-0000-0000-000006000000}"/>
    <cellStyle name="Error" xfId="13" xr:uid="{00000000-0005-0000-0000-000007000000}"/>
    <cellStyle name="Excel Built-in Percent" xfId="14" xr:uid="{00000000-0005-0000-0000-000008000000}"/>
    <cellStyle name="Footnote" xfId="15" xr:uid="{00000000-0005-0000-0000-000009000000}"/>
    <cellStyle name="Good" xfId="4" builtinId="26" customBuiltin="1"/>
    <cellStyle name="Heading" xfId="16" xr:uid="{00000000-0005-0000-0000-00000B000000}"/>
    <cellStyle name="Heading 1" xfId="2" builtinId="16" customBuiltin="1"/>
    <cellStyle name="Heading 2" xfId="3" builtinId="17" customBuiltin="1"/>
    <cellStyle name="Hyperlink" xfId="17" xr:uid="{00000000-0005-0000-0000-00000E000000}"/>
    <cellStyle name="Neutral" xfId="6" builtinId="28" customBuiltin="1"/>
    <cellStyle name="Normal" xfId="0" builtinId="0" customBuiltin="1"/>
    <cellStyle name="Normal 3" xfId="18" xr:uid="{00000000-0005-0000-0000-000011000000}"/>
    <cellStyle name="Note" xfId="7" builtinId="10" customBuiltin="1"/>
    <cellStyle name="Percent" xfId="1" builtinId="5"/>
    <cellStyle name="Percent 2" xfId="19" xr:uid="{00000000-0005-0000-0000-000014000000}"/>
    <cellStyle name="Result" xfId="20" xr:uid="{00000000-0005-0000-0000-000015000000}"/>
    <cellStyle name="Status" xfId="21" xr:uid="{00000000-0005-0000-0000-000016000000}"/>
    <cellStyle name="Text" xfId="22" xr:uid="{00000000-0005-0000-0000-000017000000}"/>
    <cellStyle name="Warning" xfId="23" xr:uid="{00000000-0005-0000-0000-00001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
  <sheetViews>
    <sheetView workbookViewId="0">
      <selection activeCell="P8" sqref="P8"/>
    </sheetView>
  </sheetViews>
  <sheetFormatPr defaultRowHeight="13.2"/>
  <cols>
    <col min="1" max="15" width="12.21875" customWidth="1"/>
    <col min="16" max="16" width="14.88671875" customWidth="1"/>
    <col min="17" max="1027" width="12.21875" customWidth="1"/>
  </cols>
  <sheetData>
    <row r="1" spans="1:34" s="3" customFormat="1" ht="37.950000000000003" customHeight="1">
      <c r="A1" s="30" t="s">
        <v>0</v>
      </c>
      <c r="B1" s="31" t="s">
        <v>1</v>
      </c>
      <c r="C1" s="35" t="s">
        <v>2</v>
      </c>
      <c r="D1" s="35" t="s">
        <v>3</v>
      </c>
      <c r="E1" s="31" t="s">
        <v>4</v>
      </c>
      <c r="F1" s="31" t="s">
        <v>5</v>
      </c>
      <c r="G1" s="31" t="s">
        <v>6</v>
      </c>
      <c r="H1" s="35" t="s">
        <v>7</v>
      </c>
      <c r="I1" s="35" t="s">
        <v>8</v>
      </c>
      <c r="J1" s="31" t="s">
        <v>9</v>
      </c>
      <c r="K1" s="35" t="s">
        <v>10</v>
      </c>
      <c r="L1" s="35" t="s">
        <v>11</v>
      </c>
      <c r="M1" s="31" t="s">
        <v>72</v>
      </c>
      <c r="N1" s="35" t="s">
        <v>10</v>
      </c>
      <c r="O1" s="35" t="s">
        <v>11</v>
      </c>
      <c r="P1" s="31" t="s">
        <v>12</v>
      </c>
      <c r="Q1" s="31" t="s">
        <v>70</v>
      </c>
      <c r="R1" s="31" t="s">
        <v>14</v>
      </c>
      <c r="S1" s="31" t="s">
        <v>15</v>
      </c>
      <c r="T1" s="31" t="s">
        <v>16</v>
      </c>
      <c r="U1" s="31" t="s">
        <v>17</v>
      </c>
      <c r="V1" s="31" t="s">
        <v>18</v>
      </c>
      <c r="W1" s="31" t="s">
        <v>19</v>
      </c>
      <c r="X1" s="31" t="s">
        <v>20</v>
      </c>
      <c r="Y1" s="31" t="s">
        <v>21</v>
      </c>
      <c r="Z1" s="31" t="s">
        <v>22</v>
      </c>
      <c r="AA1" s="31" t="s">
        <v>23</v>
      </c>
      <c r="AB1" s="31" t="s">
        <v>24</v>
      </c>
      <c r="AC1" s="31" t="s">
        <v>25</v>
      </c>
      <c r="AD1" s="31" t="s">
        <v>26</v>
      </c>
      <c r="AE1" s="31" t="s">
        <v>27</v>
      </c>
      <c r="AF1" s="31" t="s">
        <v>28</v>
      </c>
      <c r="AG1" s="31" t="s">
        <v>29</v>
      </c>
      <c r="AH1" s="31" t="s">
        <v>30</v>
      </c>
    </row>
    <row r="2" spans="1:34" s="4" customFormat="1" ht="13.8">
      <c r="A2" s="4" t="s">
        <v>31</v>
      </c>
      <c r="B2" s="13">
        <v>296722</v>
      </c>
      <c r="C2" s="36">
        <v>147487</v>
      </c>
      <c r="D2" s="36">
        <v>149235</v>
      </c>
      <c r="E2" s="13">
        <v>27116</v>
      </c>
      <c r="F2" s="13">
        <v>25733</v>
      </c>
      <c r="G2" s="13">
        <v>1383</v>
      </c>
      <c r="H2" s="36">
        <v>13933</v>
      </c>
      <c r="I2" s="36">
        <v>13183</v>
      </c>
      <c r="J2" s="13">
        <v>159782</v>
      </c>
      <c r="K2" s="36">
        <v>80746</v>
      </c>
      <c r="L2" s="36">
        <v>79036</v>
      </c>
      <c r="M2" s="13">
        <v>1145</v>
      </c>
      <c r="N2" s="36">
        <v>929</v>
      </c>
      <c r="O2" s="36">
        <v>216</v>
      </c>
      <c r="P2" s="13">
        <v>484765</v>
      </c>
      <c r="Q2" s="13">
        <f>LEB_BY_GOVERNORATE!$F2+SYR_BY_GOVERNORATE!$F2+PAL_BY_GOVERNORATE!$L2</f>
        <v>53468</v>
      </c>
      <c r="R2" s="13">
        <f>LEB_BY_GOVERNORATE!G2+SYR_BY_GOVERNORATE!G2+PAL_BY_GOVERNORATE!M2</f>
        <v>63563</v>
      </c>
      <c r="S2" s="13">
        <f>LEB_BY_GOVERNORATE!H2+SYR_BY_GOVERNORATE!H2+PAL_BY_GOVERNORATE!N2</f>
        <v>55666</v>
      </c>
      <c r="T2" s="13">
        <f>LEB_BY_GOVERNORATE!I2+SYR_BY_GOVERNORATE!I2+PAL_BY_GOVERNORATE!O2</f>
        <v>52123</v>
      </c>
      <c r="U2" s="13">
        <f>LEB_BY_GOVERNORATE!J2+SYR_BY_GOVERNORATE!J2+PAL_BY_GOVERNORATE!P2</f>
        <v>44769</v>
      </c>
      <c r="V2" s="13">
        <f>LEB_BY_GOVERNORATE!K2+SYR_BY_GOVERNORATE!K2+PAL_BY_GOVERNORATE!Q2</f>
        <v>37321</v>
      </c>
      <c r="W2" s="13">
        <f>LEB_BY_GOVERNORATE!L2+SYR_BY_GOVERNORATE!L2+PAL_BY_GOVERNORATE!R2</f>
        <v>29818</v>
      </c>
      <c r="X2" s="13">
        <f>LEB_BY_GOVERNORATE!M2+SYR_BY_GOVERNORATE!M2+PAL_BY_GOVERNORATE!S2</f>
        <v>30228</v>
      </c>
      <c r="Y2" s="13">
        <f>LEB_BY_GOVERNORATE!N2+SYR_BY_GOVERNORATE!N2+PAL_BY_GOVERNORATE!T2</f>
        <v>27422</v>
      </c>
      <c r="Z2" s="13">
        <f>LEB_BY_GOVERNORATE!O2+SYR_BY_GOVERNORATE!O2+PAL_BY_GOVERNORATE!U2</f>
        <v>20842</v>
      </c>
      <c r="AA2" s="13">
        <f>LEB_BY_GOVERNORATE!P2+SYR_BY_GOVERNORATE!P2+PAL_BY_GOVERNORATE!V2</f>
        <v>19039</v>
      </c>
      <c r="AB2" s="13">
        <f>LEB_BY_GOVERNORATE!Q2+SYR_BY_GOVERNORATE!Q2+PAL_BY_GOVERNORATE!W2</f>
        <v>15585</v>
      </c>
      <c r="AC2" s="13">
        <f>LEB_BY_GOVERNORATE!R2+SYR_BY_GOVERNORATE!R2+PAL_BY_GOVERNORATE!X2</f>
        <v>10199</v>
      </c>
      <c r="AD2" s="13">
        <f>LEB_BY_GOVERNORATE!S2+SYR_BY_GOVERNORATE!S2+PAL_BY_GOVERNORATE!Y2</f>
        <v>8201</v>
      </c>
      <c r="AE2" s="13">
        <f>LEB_BY_GOVERNORATE!T2+SYR_BY_GOVERNORATE!T2+PAL_BY_GOVERNORATE!Z2</f>
        <v>6666</v>
      </c>
      <c r="AF2" s="13">
        <f>LEB_BY_GOVERNORATE!U2+SYR_BY_GOVERNORATE!U2+PAL_BY_GOVERNORATE!AA2</f>
        <v>4217</v>
      </c>
      <c r="AG2" s="13">
        <f>LEB_BY_GOVERNORATE!V2+SYR_BY_GOVERNORATE!V2+PAL_BY_GOVERNORATE!AB2</f>
        <v>2512</v>
      </c>
      <c r="AH2" s="13">
        <f>LEB_BY_GOVERNORATE!W2+SYR_BY_GOVERNORATE!W2+PAL_BY_GOVERNORATE!AC2</f>
        <v>1981</v>
      </c>
    </row>
    <row r="3" spans="1:34" s="5" customFormat="1" ht="13.8">
      <c r="A3" s="14" t="s">
        <v>32</v>
      </c>
      <c r="B3" s="15">
        <v>220695</v>
      </c>
      <c r="C3" s="36">
        <v>114229</v>
      </c>
      <c r="D3" s="36">
        <v>106466</v>
      </c>
      <c r="E3" s="15">
        <v>4329</v>
      </c>
      <c r="F3" s="15">
        <v>3078</v>
      </c>
      <c r="G3" s="15">
        <v>1251</v>
      </c>
      <c r="H3" s="36">
        <v>2376</v>
      </c>
      <c r="I3" s="36">
        <v>1953</v>
      </c>
      <c r="J3" s="15">
        <v>185902</v>
      </c>
      <c r="K3" s="36">
        <v>96596</v>
      </c>
      <c r="L3" s="36">
        <v>89306</v>
      </c>
      <c r="M3" s="13">
        <v>2738</v>
      </c>
      <c r="N3" s="36">
        <v>2466</v>
      </c>
      <c r="O3" s="36">
        <v>272</v>
      </c>
      <c r="P3" s="15">
        <v>413664</v>
      </c>
      <c r="Q3" s="13">
        <f>LEB_BY_GOVERNORATE!$F3+SYR_BY_GOVERNORATE!$F3+PAL_BY_GOVERNORATE!$L3</f>
        <v>42550</v>
      </c>
      <c r="R3" s="13">
        <f>LEB_BY_GOVERNORATE!G3+SYR_BY_GOVERNORATE!G3+PAL_BY_GOVERNORATE!M3</f>
        <v>55062</v>
      </c>
      <c r="S3" s="13">
        <f>LEB_BY_GOVERNORATE!H3+SYR_BY_GOVERNORATE!H3+PAL_BY_GOVERNORATE!N3</f>
        <v>46071</v>
      </c>
      <c r="T3" s="13">
        <f>LEB_BY_GOVERNORATE!I3+SYR_BY_GOVERNORATE!I3+PAL_BY_GOVERNORATE!O3</f>
        <v>42873</v>
      </c>
      <c r="U3" s="13">
        <f>LEB_BY_GOVERNORATE!J3+SYR_BY_GOVERNORATE!J3+PAL_BY_GOVERNORATE!P3</f>
        <v>37147</v>
      </c>
      <c r="V3" s="13">
        <f>LEB_BY_GOVERNORATE!K3+SYR_BY_GOVERNORATE!K3+PAL_BY_GOVERNORATE!Q3</f>
        <v>29747</v>
      </c>
      <c r="W3" s="13">
        <f>LEB_BY_GOVERNORATE!L3+SYR_BY_GOVERNORATE!L3+PAL_BY_GOVERNORATE!R3</f>
        <v>24570</v>
      </c>
      <c r="X3" s="13">
        <f>LEB_BY_GOVERNORATE!M3+SYR_BY_GOVERNORATE!M3+PAL_BY_GOVERNORATE!S3</f>
        <v>24865</v>
      </c>
      <c r="Y3" s="13">
        <f>LEB_BY_GOVERNORATE!N3+SYR_BY_GOVERNORATE!N3+PAL_BY_GOVERNORATE!T3</f>
        <v>21946</v>
      </c>
      <c r="Z3" s="13">
        <f>LEB_BY_GOVERNORATE!O3+SYR_BY_GOVERNORATE!O3+PAL_BY_GOVERNORATE!U3</f>
        <v>20994</v>
      </c>
      <c r="AA3" s="13">
        <f>LEB_BY_GOVERNORATE!P3+SYR_BY_GOVERNORATE!P3+PAL_BY_GOVERNORATE!V3</f>
        <v>19022</v>
      </c>
      <c r="AB3" s="13">
        <f>LEB_BY_GOVERNORATE!Q3+SYR_BY_GOVERNORATE!Q3+PAL_BY_GOVERNORATE!W3</f>
        <v>13507</v>
      </c>
      <c r="AC3" s="13">
        <f>LEB_BY_GOVERNORATE!R3+SYR_BY_GOVERNORATE!R3+PAL_BY_GOVERNORATE!X3</f>
        <v>10573</v>
      </c>
      <c r="AD3" s="13">
        <f>LEB_BY_GOVERNORATE!S3+SYR_BY_GOVERNORATE!S3+PAL_BY_GOVERNORATE!Y3</f>
        <v>7481</v>
      </c>
      <c r="AE3" s="13">
        <f>LEB_BY_GOVERNORATE!T3+SYR_BY_GOVERNORATE!T3+PAL_BY_GOVERNORATE!Z3</f>
        <v>5748</v>
      </c>
      <c r="AF3" s="13">
        <f>LEB_BY_GOVERNORATE!U3+SYR_BY_GOVERNORATE!U3+PAL_BY_GOVERNORATE!AA3</f>
        <v>4547</v>
      </c>
      <c r="AG3" s="13">
        <f>LEB_BY_GOVERNORATE!V3+SYR_BY_GOVERNORATE!V3+PAL_BY_GOVERNORATE!AB3</f>
        <v>2446</v>
      </c>
      <c r="AH3" s="13">
        <f>LEB_BY_GOVERNORATE!W3+SYR_BY_GOVERNORATE!W3+PAL_BY_GOVERNORATE!AC3</f>
        <v>1777</v>
      </c>
    </row>
    <row r="4" spans="1:34" s="4" customFormat="1" ht="13.8">
      <c r="A4" s="4" t="s">
        <v>33</v>
      </c>
      <c r="B4" s="13">
        <v>237027</v>
      </c>
      <c r="C4" s="36">
        <v>128048</v>
      </c>
      <c r="D4" s="36">
        <v>108979</v>
      </c>
      <c r="E4" s="13">
        <v>7171</v>
      </c>
      <c r="F4" s="13">
        <v>6652</v>
      </c>
      <c r="G4" s="13">
        <v>519</v>
      </c>
      <c r="H4" s="36">
        <v>3593</v>
      </c>
      <c r="I4" s="36">
        <v>3578</v>
      </c>
      <c r="J4" s="13">
        <v>32892</v>
      </c>
      <c r="K4" s="36">
        <v>15657</v>
      </c>
      <c r="L4" s="36">
        <v>17235</v>
      </c>
      <c r="M4" s="13">
        <v>25920</v>
      </c>
      <c r="N4" s="36">
        <v>18109</v>
      </c>
      <c r="O4" s="36">
        <v>7811</v>
      </c>
      <c r="P4" s="13">
        <v>303010</v>
      </c>
      <c r="Q4" s="13">
        <f>LEB_BY_GOVERNORATE!$F4+SYR_BY_GOVERNORATE!$F4+PAL_BY_GOVERNORATE!$L4</f>
        <v>19890</v>
      </c>
      <c r="R4" s="13">
        <f>LEB_BY_GOVERNORATE!G4+SYR_BY_GOVERNORATE!G4+PAL_BY_GOVERNORATE!M4</f>
        <v>21188</v>
      </c>
      <c r="S4" s="13">
        <f>LEB_BY_GOVERNORATE!H4+SYR_BY_GOVERNORATE!H4+PAL_BY_GOVERNORATE!N4</f>
        <v>19674</v>
      </c>
      <c r="T4" s="13">
        <f>LEB_BY_GOVERNORATE!I4+SYR_BY_GOVERNORATE!I4+PAL_BY_GOVERNORATE!O4</f>
        <v>19438</v>
      </c>
      <c r="U4" s="13">
        <f>LEB_BY_GOVERNORATE!J4+SYR_BY_GOVERNORATE!J4+PAL_BY_GOVERNORATE!P4</f>
        <v>23535</v>
      </c>
      <c r="V4" s="13">
        <f>LEB_BY_GOVERNORATE!K4+SYR_BY_GOVERNORATE!K4+PAL_BY_GOVERNORATE!Q4</f>
        <v>23812</v>
      </c>
      <c r="W4" s="13">
        <f>LEB_BY_GOVERNORATE!L4+SYR_BY_GOVERNORATE!L4+PAL_BY_GOVERNORATE!R4</f>
        <v>20826</v>
      </c>
      <c r="X4" s="13">
        <f>LEB_BY_GOVERNORATE!M4+SYR_BY_GOVERNORATE!M4+PAL_BY_GOVERNORATE!S4</f>
        <v>17730</v>
      </c>
      <c r="Y4" s="13">
        <f>LEB_BY_GOVERNORATE!N4+SYR_BY_GOVERNORATE!N4+PAL_BY_GOVERNORATE!T4</f>
        <v>16058</v>
      </c>
      <c r="Z4" s="13">
        <f>LEB_BY_GOVERNORATE!O4+SYR_BY_GOVERNORATE!O4+PAL_BY_GOVERNORATE!U4</f>
        <v>13256</v>
      </c>
      <c r="AA4" s="13">
        <f>LEB_BY_GOVERNORATE!P4+SYR_BY_GOVERNORATE!P4+PAL_BY_GOVERNORATE!V4</f>
        <v>13681</v>
      </c>
      <c r="AB4" s="13">
        <f>LEB_BY_GOVERNORATE!Q4+SYR_BY_GOVERNORATE!Q4+PAL_BY_GOVERNORATE!W4</f>
        <v>12880</v>
      </c>
      <c r="AC4" s="13">
        <f>LEB_BY_GOVERNORATE!R4+SYR_BY_GOVERNORATE!R4+PAL_BY_GOVERNORATE!X4</f>
        <v>14422</v>
      </c>
      <c r="AD4" s="13">
        <f>LEB_BY_GOVERNORATE!S4+SYR_BY_GOVERNORATE!S4+PAL_BY_GOVERNORATE!Y4</f>
        <v>10938</v>
      </c>
      <c r="AE4" s="13">
        <f>LEB_BY_GOVERNORATE!T4+SYR_BY_GOVERNORATE!T4+PAL_BY_GOVERNORATE!Z4</f>
        <v>10425</v>
      </c>
      <c r="AF4" s="13">
        <f>LEB_BY_GOVERNORATE!U4+SYR_BY_GOVERNORATE!U4+PAL_BY_GOVERNORATE!AA4</f>
        <v>7489</v>
      </c>
      <c r="AG4" s="13">
        <f>LEB_BY_GOVERNORATE!V4+SYR_BY_GOVERNORATE!V4+PAL_BY_GOVERNORATE!AB4</f>
        <v>6661</v>
      </c>
      <c r="AH4" s="13">
        <f>LEB_BY_GOVERNORATE!W4+SYR_BY_GOVERNORATE!W4+PAL_BY_GOVERNORATE!AC4</f>
        <v>5187</v>
      </c>
    </row>
    <row r="5" spans="1:34" s="5" customFormat="1" ht="13.8">
      <c r="A5" s="14" t="s">
        <v>34</v>
      </c>
      <c r="B5" s="15">
        <v>238604</v>
      </c>
      <c r="C5" s="36">
        <v>120727</v>
      </c>
      <c r="D5" s="36">
        <v>117877</v>
      </c>
      <c r="E5" s="15">
        <v>10495</v>
      </c>
      <c r="F5" s="15">
        <v>7519</v>
      </c>
      <c r="G5" s="15">
        <v>2976</v>
      </c>
      <c r="H5" s="36">
        <v>5475</v>
      </c>
      <c r="I5" s="36">
        <v>5020</v>
      </c>
      <c r="J5" s="15">
        <v>192649</v>
      </c>
      <c r="K5" s="36">
        <v>98595</v>
      </c>
      <c r="L5" s="36">
        <v>94054</v>
      </c>
      <c r="M5" s="13">
        <v>5591</v>
      </c>
      <c r="N5" s="36">
        <v>4984</v>
      </c>
      <c r="O5" s="36">
        <v>607</v>
      </c>
      <c r="P5" s="15">
        <v>447339</v>
      </c>
      <c r="Q5" s="13">
        <f>LEB_BY_GOVERNORATE!$F5+SYR_BY_GOVERNORATE!$F5+PAL_BY_GOVERNORATE!$L5</f>
        <v>43206</v>
      </c>
      <c r="R5" s="13">
        <f>LEB_BY_GOVERNORATE!G5+SYR_BY_GOVERNORATE!G5+PAL_BY_GOVERNORATE!M5</f>
        <v>56957</v>
      </c>
      <c r="S5" s="13">
        <f>LEB_BY_GOVERNORATE!H5+SYR_BY_GOVERNORATE!H5+PAL_BY_GOVERNORATE!N5</f>
        <v>48079</v>
      </c>
      <c r="T5" s="13">
        <f>LEB_BY_GOVERNORATE!I5+SYR_BY_GOVERNORATE!I5+PAL_BY_GOVERNORATE!O5</f>
        <v>43501</v>
      </c>
      <c r="U5" s="13">
        <f>LEB_BY_GOVERNORATE!J5+SYR_BY_GOVERNORATE!J5+PAL_BY_GOVERNORATE!P5</f>
        <v>39126</v>
      </c>
      <c r="V5" s="13">
        <f>LEB_BY_GOVERNORATE!K5+SYR_BY_GOVERNORATE!K5+PAL_BY_GOVERNORATE!Q5</f>
        <v>32253</v>
      </c>
      <c r="W5" s="13">
        <f>LEB_BY_GOVERNORATE!L5+SYR_BY_GOVERNORATE!L5+PAL_BY_GOVERNORATE!R5</f>
        <v>27684</v>
      </c>
      <c r="X5" s="13">
        <f>LEB_BY_GOVERNORATE!M5+SYR_BY_GOVERNORATE!M5+PAL_BY_GOVERNORATE!S5</f>
        <v>27051</v>
      </c>
      <c r="Y5" s="13">
        <f>LEB_BY_GOVERNORATE!N5+SYR_BY_GOVERNORATE!N5+PAL_BY_GOVERNORATE!T5</f>
        <v>23414</v>
      </c>
      <c r="Z5" s="13">
        <f>LEB_BY_GOVERNORATE!O5+SYR_BY_GOVERNORATE!O5+PAL_BY_GOVERNORATE!U5</f>
        <v>22150</v>
      </c>
      <c r="AA5" s="13">
        <f>LEB_BY_GOVERNORATE!P5+SYR_BY_GOVERNORATE!P5+PAL_BY_GOVERNORATE!V5</f>
        <v>21271</v>
      </c>
      <c r="AB5" s="13">
        <f>LEB_BY_GOVERNORATE!Q5+SYR_BY_GOVERNORATE!Q5+PAL_BY_GOVERNORATE!W5</f>
        <v>16204</v>
      </c>
      <c r="AC5" s="13">
        <f>LEB_BY_GOVERNORATE!R5+SYR_BY_GOVERNORATE!R5+PAL_BY_GOVERNORATE!X5</f>
        <v>12482</v>
      </c>
      <c r="AD5" s="13">
        <f>LEB_BY_GOVERNORATE!S5+SYR_BY_GOVERNORATE!S5+PAL_BY_GOVERNORATE!Y5</f>
        <v>9013</v>
      </c>
      <c r="AE5" s="13">
        <f>LEB_BY_GOVERNORATE!T5+SYR_BY_GOVERNORATE!T5+PAL_BY_GOVERNORATE!Z5</f>
        <v>7560</v>
      </c>
      <c r="AF5" s="13">
        <f>LEB_BY_GOVERNORATE!U5+SYR_BY_GOVERNORATE!U5+PAL_BY_GOVERNORATE!AA5</f>
        <v>5628</v>
      </c>
      <c r="AG5" s="13">
        <f>LEB_BY_GOVERNORATE!V5+SYR_BY_GOVERNORATE!V5+PAL_BY_GOVERNORATE!AB5</f>
        <v>3470</v>
      </c>
      <c r="AH5" s="13">
        <f>LEB_BY_GOVERNORATE!W5+SYR_BY_GOVERNORATE!W5+PAL_BY_GOVERNORATE!AC5</f>
        <v>2699</v>
      </c>
    </row>
    <row r="6" spans="1:34" s="4" customFormat="1" ht="13.8">
      <c r="A6" s="4" t="s">
        <v>35</v>
      </c>
      <c r="B6" s="13">
        <v>1573998</v>
      </c>
      <c r="C6" s="36">
        <v>810679</v>
      </c>
      <c r="D6" s="36">
        <v>763319</v>
      </c>
      <c r="E6" s="13">
        <v>3061</v>
      </c>
      <c r="F6" s="13">
        <v>2657</v>
      </c>
      <c r="G6" s="13">
        <v>404</v>
      </c>
      <c r="H6" s="36">
        <v>1523</v>
      </c>
      <c r="I6" s="36">
        <v>1538</v>
      </c>
      <c r="J6" s="13">
        <v>309374</v>
      </c>
      <c r="K6" s="36">
        <v>149452</v>
      </c>
      <c r="L6" s="36">
        <v>159922</v>
      </c>
      <c r="M6" s="13">
        <v>104313</v>
      </c>
      <c r="N6" s="36">
        <v>70607</v>
      </c>
      <c r="O6" s="36">
        <v>33706</v>
      </c>
      <c r="P6" s="13">
        <v>1990746</v>
      </c>
      <c r="Q6" s="13">
        <f>LEB_BY_GOVERNORATE!$F6+SYR_BY_GOVERNORATE!$F6+PAL_BY_GOVERNORATE!$L6</f>
        <v>150825</v>
      </c>
      <c r="R6" s="13">
        <f>LEB_BY_GOVERNORATE!G6+SYR_BY_GOVERNORATE!G6+PAL_BY_GOVERNORATE!M6</f>
        <v>171122</v>
      </c>
      <c r="S6" s="13">
        <f>LEB_BY_GOVERNORATE!H6+SYR_BY_GOVERNORATE!H6+PAL_BY_GOVERNORATE!N6</f>
        <v>149743</v>
      </c>
      <c r="T6" s="13">
        <f>LEB_BY_GOVERNORATE!I6+SYR_BY_GOVERNORATE!I6+PAL_BY_GOVERNORATE!O6</f>
        <v>150690</v>
      </c>
      <c r="U6" s="13">
        <f>LEB_BY_GOVERNORATE!J6+SYR_BY_GOVERNORATE!J6+PAL_BY_GOVERNORATE!P6</f>
        <v>166904</v>
      </c>
      <c r="V6" s="13">
        <f>LEB_BY_GOVERNORATE!K6+SYR_BY_GOVERNORATE!K6+PAL_BY_GOVERNORATE!Q6</f>
        <v>153082</v>
      </c>
      <c r="W6" s="13">
        <f>LEB_BY_GOVERNORATE!L6+SYR_BY_GOVERNORATE!L6+PAL_BY_GOVERNORATE!R6</f>
        <v>133507</v>
      </c>
      <c r="X6" s="13">
        <f>LEB_BY_GOVERNORATE!M6+SYR_BY_GOVERNORATE!M6+PAL_BY_GOVERNORATE!S6</f>
        <v>126763</v>
      </c>
      <c r="Y6" s="13">
        <f>LEB_BY_GOVERNORATE!N6+SYR_BY_GOVERNORATE!N6+PAL_BY_GOVERNORATE!T6</f>
        <v>109404</v>
      </c>
      <c r="Z6" s="13">
        <f>LEB_BY_GOVERNORATE!O6+SYR_BY_GOVERNORATE!O6+PAL_BY_GOVERNORATE!U6</f>
        <v>100699</v>
      </c>
      <c r="AA6" s="13">
        <f>LEB_BY_GOVERNORATE!P6+SYR_BY_GOVERNORATE!P6+PAL_BY_GOVERNORATE!V6</f>
        <v>107380</v>
      </c>
      <c r="AB6" s="13">
        <f>LEB_BY_GOVERNORATE!Q6+SYR_BY_GOVERNORATE!Q6+PAL_BY_GOVERNORATE!W6</f>
        <v>93131</v>
      </c>
      <c r="AC6" s="13">
        <f>LEB_BY_GOVERNORATE!R6+SYR_BY_GOVERNORATE!R6+PAL_BY_GOVERNORATE!X6</f>
        <v>77518</v>
      </c>
      <c r="AD6" s="13">
        <f>LEB_BY_GOVERNORATE!S6+SYR_BY_GOVERNORATE!S6+PAL_BY_GOVERNORATE!Y6</f>
        <v>63336</v>
      </c>
      <c r="AE6" s="13">
        <f>LEB_BY_GOVERNORATE!T6+SYR_BY_GOVERNORATE!T6+PAL_BY_GOVERNORATE!Z6</f>
        <v>48795</v>
      </c>
      <c r="AF6" s="13">
        <f>LEB_BY_GOVERNORATE!U6+SYR_BY_GOVERNORATE!U6+PAL_BY_GOVERNORATE!AA6</f>
        <v>36239</v>
      </c>
      <c r="AG6" s="13">
        <f>LEB_BY_GOVERNORATE!V6+SYR_BY_GOVERNORATE!V6+PAL_BY_GOVERNORATE!AB6</f>
        <v>27134</v>
      </c>
      <c r="AH6" s="13">
        <f>LEB_BY_GOVERNORATE!W6+SYR_BY_GOVERNORATE!W6+PAL_BY_GOVERNORATE!AC6</f>
        <v>20161</v>
      </c>
    </row>
    <row r="7" spans="1:34" s="5" customFormat="1" ht="13.8">
      <c r="A7" s="14" t="s">
        <v>36</v>
      </c>
      <c r="B7" s="15">
        <v>314750</v>
      </c>
      <c r="C7" s="36">
        <v>160378</v>
      </c>
      <c r="D7" s="36">
        <v>154372</v>
      </c>
      <c r="E7" s="15">
        <v>41047</v>
      </c>
      <c r="F7" s="15">
        <v>35750</v>
      </c>
      <c r="G7" s="15">
        <v>5297</v>
      </c>
      <c r="H7" s="36">
        <v>21099</v>
      </c>
      <c r="I7" s="36">
        <v>19948</v>
      </c>
      <c r="J7" s="15">
        <v>37912</v>
      </c>
      <c r="K7" s="36">
        <v>18760</v>
      </c>
      <c r="L7" s="36">
        <v>19152</v>
      </c>
      <c r="M7" s="13">
        <v>5699</v>
      </c>
      <c r="N7" s="36">
        <v>3503</v>
      </c>
      <c r="O7" s="36">
        <v>2196</v>
      </c>
      <c r="P7" s="15">
        <v>399408</v>
      </c>
      <c r="Q7" s="13">
        <f>LEB_BY_GOVERNORATE!$F7+SYR_BY_GOVERNORATE!$F7+PAL_BY_GOVERNORATE!$L7</f>
        <v>32285</v>
      </c>
      <c r="R7" s="13">
        <f>LEB_BY_GOVERNORATE!G7+SYR_BY_GOVERNORATE!G7+PAL_BY_GOVERNORATE!M7</f>
        <v>39587</v>
      </c>
      <c r="S7" s="13">
        <f>LEB_BY_GOVERNORATE!H7+SYR_BY_GOVERNORATE!H7+PAL_BY_GOVERNORATE!N7</f>
        <v>39098</v>
      </c>
      <c r="T7" s="13">
        <f>LEB_BY_GOVERNORATE!I7+SYR_BY_GOVERNORATE!I7+PAL_BY_GOVERNORATE!O7</f>
        <v>37290</v>
      </c>
      <c r="U7" s="13">
        <f>LEB_BY_GOVERNORATE!J7+SYR_BY_GOVERNORATE!J7+PAL_BY_GOVERNORATE!P7</f>
        <v>34877</v>
      </c>
      <c r="V7" s="13">
        <f>LEB_BY_GOVERNORATE!K7+SYR_BY_GOVERNORATE!K7+PAL_BY_GOVERNORATE!Q7</f>
        <v>27356</v>
      </c>
      <c r="W7" s="13">
        <f>LEB_BY_GOVERNORATE!L7+SYR_BY_GOVERNORATE!L7+PAL_BY_GOVERNORATE!R7</f>
        <v>22300</v>
      </c>
      <c r="X7" s="13">
        <f>LEB_BY_GOVERNORATE!M7+SYR_BY_GOVERNORATE!M7+PAL_BY_GOVERNORATE!S7</f>
        <v>21786</v>
      </c>
      <c r="Y7" s="13">
        <f>LEB_BY_GOVERNORATE!N7+SYR_BY_GOVERNORATE!N7+PAL_BY_GOVERNORATE!T7</f>
        <v>20720</v>
      </c>
      <c r="Z7" s="13">
        <f>LEB_BY_GOVERNORATE!O7+SYR_BY_GOVERNORATE!O7+PAL_BY_GOVERNORATE!U7</f>
        <v>22558</v>
      </c>
      <c r="AA7" s="13">
        <f>LEB_BY_GOVERNORATE!P7+SYR_BY_GOVERNORATE!P7+PAL_BY_GOVERNORATE!V7</f>
        <v>23354</v>
      </c>
      <c r="AB7" s="13">
        <f>LEB_BY_GOVERNORATE!Q7+SYR_BY_GOVERNORATE!Q7+PAL_BY_GOVERNORATE!W7</f>
        <v>18089</v>
      </c>
      <c r="AC7" s="13">
        <f>LEB_BY_GOVERNORATE!R7+SYR_BY_GOVERNORATE!R7+PAL_BY_GOVERNORATE!X7</f>
        <v>15306</v>
      </c>
      <c r="AD7" s="13">
        <f>LEB_BY_GOVERNORATE!S7+SYR_BY_GOVERNORATE!S7+PAL_BY_GOVERNORATE!Y7</f>
        <v>10616</v>
      </c>
      <c r="AE7" s="13">
        <f>LEB_BY_GOVERNORATE!T7+SYR_BY_GOVERNORATE!T7+PAL_BY_GOVERNORATE!Z7</f>
        <v>10115</v>
      </c>
      <c r="AF7" s="13">
        <f>LEB_BY_GOVERNORATE!U7+SYR_BY_GOVERNORATE!U7+PAL_BY_GOVERNORATE!AA7</f>
        <v>7654</v>
      </c>
      <c r="AG7" s="13">
        <f>LEB_BY_GOVERNORATE!V7+SYR_BY_GOVERNORATE!V7+PAL_BY_GOVERNORATE!AB7</f>
        <v>6214</v>
      </c>
      <c r="AH7" s="13">
        <f>LEB_BY_GOVERNORATE!W7+SYR_BY_GOVERNORATE!W7+PAL_BY_GOVERNORATE!AC7</f>
        <v>4504</v>
      </c>
    </row>
    <row r="8" spans="1:34" s="4" customFormat="1" ht="13.8">
      <c r="A8" s="4" t="s">
        <v>37</v>
      </c>
      <c r="B8" s="13">
        <v>540792</v>
      </c>
      <c r="C8" s="36">
        <v>279818</v>
      </c>
      <c r="D8" s="36">
        <v>260974</v>
      </c>
      <c r="E8" s="13">
        <v>20881</v>
      </c>
      <c r="F8" s="13">
        <v>18503</v>
      </c>
      <c r="G8" s="13">
        <v>2378</v>
      </c>
      <c r="H8" s="36">
        <v>10810</v>
      </c>
      <c r="I8" s="36">
        <v>10071</v>
      </c>
      <c r="J8" s="13">
        <v>126799</v>
      </c>
      <c r="K8" s="36">
        <v>62888</v>
      </c>
      <c r="L8" s="36">
        <v>63911</v>
      </c>
      <c r="M8" s="13">
        <v>6899</v>
      </c>
      <c r="N8" s="36">
        <v>5635</v>
      </c>
      <c r="O8" s="36">
        <v>1264</v>
      </c>
      <c r="P8" s="13">
        <v>695371</v>
      </c>
      <c r="Q8" s="13">
        <f>LEB_BY_GOVERNORATE!$F8+SYR_BY_GOVERNORATE!$F8+PAL_BY_GOVERNORATE!$L8</f>
        <v>59230</v>
      </c>
      <c r="R8" s="13">
        <f>LEB_BY_GOVERNORATE!G8+SYR_BY_GOVERNORATE!G8+PAL_BY_GOVERNORATE!M8</f>
        <v>71866</v>
      </c>
      <c r="S8" s="13">
        <f>LEB_BY_GOVERNORATE!H8+SYR_BY_GOVERNORATE!H8+PAL_BY_GOVERNORATE!N8</f>
        <v>66174</v>
      </c>
      <c r="T8" s="13">
        <f>LEB_BY_GOVERNORATE!I8+SYR_BY_GOVERNORATE!I8+PAL_BY_GOVERNORATE!O8</f>
        <v>64594</v>
      </c>
      <c r="U8" s="13">
        <f>LEB_BY_GOVERNORATE!J8+SYR_BY_GOVERNORATE!J8+PAL_BY_GOVERNORATE!P8</f>
        <v>63746</v>
      </c>
      <c r="V8" s="13">
        <f>LEB_BY_GOVERNORATE!K8+SYR_BY_GOVERNORATE!K8+PAL_BY_GOVERNORATE!Q8</f>
        <v>51848</v>
      </c>
      <c r="W8" s="13">
        <f>LEB_BY_GOVERNORATE!L8+SYR_BY_GOVERNORATE!L8+PAL_BY_GOVERNORATE!R8</f>
        <v>44239</v>
      </c>
      <c r="X8" s="13">
        <f>LEB_BY_GOVERNORATE!M8+SYR_BY_GOVERNORATE!M8+PAL_BY_GOVERNORATE!S8</f>
        <v>41269</v>
      </c>
      <c r="Y8" s="13">
        <f>LEB_BY_GOVERNORATE!N8+SYR_BY_GOVERNORATE!N8+PAL_BY_GOVERNORATE!T8</f>
        <v>38280</v>
      </c>
      <c r="Z8" s="13">
        <f>LEB_BY_GOVERNORATE!O8+SYR_BY_GOVERNORATE!O8+PAL_BY_GOVERNORATE!U8</f>
        <v>37261</v>
      </c>
      <c r="AA8" s="13">
        <f>LEB_BY_GOVERNORATE!P8+SYR_BY_GOVERNORATE!P8+PAL_BY_GOVERNORATE!V8</f>
        <v>36492</v>
      </c>
      <c r="AB8" s="13">
        <f>LEB_BY_GOVERNORATE!Q8+SYR_BY_GOVERNORATE!Q8+PAL_BY_GOVERNORATE!W8</f>
        <v>31522</v>
      </c>
      <c r="AC8" s="13">
        <f>LEB_BY_GOVERNORATE!R8+SYR_BY_GOVERNORATE!R8+PAL_BY_GOVERNORATE!X8</f>
        <v>26988</v>
      </c>
      <c r="AD8" s="13">
        <f>LEB_BY_GOVERNORATE!S8+SYR_BY_GOVERNORATE!S8+PAL_BY_GOVERNORATE!Y8</f>
        <v>17773</v>
      </c>
      <c r="AE8" s="13">
        <f>LEB_BY_GOVERNORATE!T8+SYR_BY_GOVERNORATE!T8+PAL_BY_GOVERNORATE!Z8</f>
        <v>14043</v>
      </c>
      <c r="AF8" s="13">
        <f>LEB_BY_GOVERNORATE!U8+SYR_BY_GOVERNORATE!U8+PAL_BY_GOVERNORATE!AA8</f>
        <v>9511</v>
      </c>
      <c r="AG8" s="13">
        <f>LEB_BY_GOVERNORATE!V8+SYR_BY_GOVERNORATE!V8+PAL_BY_GOVERNORATE!AB8</f>
        <v>8553</v>
      </c>
      <c r="AH8" s="13">
        <f>LEB_BY_GOVERNORATE!W8+SYR_BY_GOVERNORATE!W8+PAL_BY_GOVERNORATE!AC8</f>
        <v>5083</v>
      </c>
    </row>
    <row r="9" spans="1:34" s="5" customFormat="1" ht="13.8">
      <c r="A9" s="14" t="s">
        <v>38</v>
      </c>
      <c r="B9" s="15">
        <v>441708</v>
      </c>
      <c r="C9" s="36">
        <v>231754</v>
      </c>
      <c r="D9" s="36">
        <v>209954</v>
      </c>
      <c r="E9" s="15">
        <v>110691</v>
      </c>
      <c r="F9" s="15">
        <v>101244</v>
      </c>
      <c r="G9" s="15">
        <v>9447</v>
      </c>
      <c r="H9" s="36">
        <v>58380</v>
      </c>
      <c r="I9" s="36">
        <v>52311</v>
      </c>
      <c r="J9" s="15">
        <v>74690</v>
      </c>
      <c r="K9" s="36">
        <v>37579</v>
      </c>
      <c r="L9" s="36">
        <v>37111</v>
      </c>
      <c r="M9" s="13">
        <v>11792</v>
      </c>
      <c r="N9" s="36">
        <v>7822</v>
      </c>
      <c r="O9" s="36">
        <v>3970</v>
      </c>
      <c r="P9" s="15">
        <v>638881</v>
      </c>
      <c r="Q9" s="13">
        <f>LEB_BY_GOVERNORATE!$F9+SYR_BY_GOVERNORATE!$F9+PAL_BY_GOVERNORATE!$L9</f>
        <v>51805</v>
      </c>
      <c r="R9" s="13">
        <f>LEB_BY_GOVERNORATE!G9+SYR_BY_GOVERNORATE!G9+PAL_BY_GOVERNORATE!M9</f>
        <v>63939</v>
      </c>
      <c r="S9" s="13">
        <f>LEB_BY_GOVERNORATE!H9+SYR_BY_GOVERNORATE!H9+PAL_BY_GOVERNORATE!N9</f>
        <v>61430</v>
      </c>
      <c r="T9" s="13">
        <f>LEB_BY_GOVERNORATE!I9+SYR_BY_GOVERNORATE!I9+PAL_BY_GOVERNORATE!O9</f>
        <v>60783</v>
      </c>
      <c r="U9" s="13">
        <f>LEB_BY_GOVERNORATE!J9+SYR_BY_GOVERNORATE!J9+PAL_BY_GOVERNORATE!P9</f>
        <v>54895</v>
      </c>
      <c r="V9" s="13">
        <f>LEB_BY_GOVERNORATE!K9+SYR_BY_GOVERNORATE!K9+PAL_BY_GOVERNORATE!Q9</f>
        <v>45861</v>
      </c>
      <c r="W9" s="13">
        <f>LEB_BY_GOVERNORATE!L9+SYR_BY_GOVERNORATE!L9+PAL_BY_GOVERNORATE!R9</f>
        <v>39695</v>
      </c>
      <c r="X9" s="13">
        <f>LEB_BY_GOVERNORATE!M9+SYR_BY_GOVERNORATE!M9+PAL_BY_GOVERNORATE!S9</f>
        <v>38808</v>
      </c>
      <c r="Y9" s="13">
        <f>LEB_BY_GOVERNORATE!N9+SYR_BY_GOVERNORATE!N9+PAL_BY_GOVERNORATE!T9</f>
        <v>35545</v>
      </c>
      <c r="Z9" s="13">
        <f>LEB_BY_GOVERNORATE!O9+SYR_BY_GOVERNORATE!O9+PAL_BY_GOVERNORATE!U9</f>
        <v>32339</v>
      </c>
      <c r="AA9" s="13">
        <f>LEB_BY_GOVERNORATE!P9+SYR_BY_GOVERNORATE!P9+PAL_BY_GOVERNORATE!V9</f>
        <v>32482</v>
      </c>
      <c r="AB9" s="13">
        <f>LEB_BY_GOVERNORATE!Q9+SYR_BY_GOVERNORATE!Q9+PAL_BY_GOVERNORATE!W9</f>
        <v>31039</v>
      </c>
      <c r="AC9" s="13">
        <f>LEB_BY_GOVERNORATE!R9+SYR_BY_GOVERNORATE!R9+PAL_BY_GOVERNORATE!X9</f>
        <v>24987</v>
      </c>
      <c r="AD9" s="13">
        <f>LEB_BY_GOVERNORATE!S9+SYR_BY_GOVERNORATE!S9+PAL_BY_GOVERNORATE!Y9</f>
        <v>19619</v>
      </c>
      <c r="AE9" s="13">
        <f>LEB_BY_GOVERNORATE!T9+SYR_BY_GOVERNORATE!T9+PAL_BY_GOVERNORATE!Z9</f>
        <v>14079</v>
      </c>
      <c r="AF9" s="13">
        <f>LEB_BY_GOVERNORATE!U9+SYR_BY_GOVERNORATE!U9+PAL_BY_GOVERNORATE!AA9</f>
        <v>9376</v>
      </c>
      <c r="AG9" s="13">
        <f>LEB_BY_GOVERNORATE!V9+SYR_BY_GOVERNORATE!V9+PAL_BY_GOVERNORATE!AB9</f>
        <v>6307</v>
      </c>
      <c r="AH9" s="13">
        <f>LEB_BY_GOVERNORATE!W9+SYR_BY_GOVERNORATE!W9+PAL_BY_GOVERNORATE!AC9</f>
        <v>4100</v>
      </c>
    </row>
  </sheetData>
  <pageMargins left="0" right="0" top="0.39370000000000011" bottom="0.39370000000000011" header="0" footer="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7"/>
  <sheetViews>
    <sheetView workbookViewId="0">
      <selection activeCell="Q2" sqref="Q2"/>
    </sheetView>
  </sheetViews>
  <sheetFormatPr defaultRowHeight="13.2"/>
  <cols>
    <col min="1" max="15" width="12.21875" customWidth="1"/>
    <col min="16" max="16" width="13.44140625" customWidth="1"/>
    <col min="17" max="1027" width="12.21875" customWidth="1"/>
  </cols>
  <sheetData>
    <row r="1" spans="1:34" s="3" customFormat="1" ht="37.950000000000003" customHeight="1">
      <c r="A1" s="1" t="s">
        <v>0</v>
      </c>
      <c r="B1" s="2" t="s">
        <v>1</v>
      </c>
      <c r="C1" s="35" t="s">
        <v>2</v>
      </c>
      <c r="D1" s="35" t="s">
        <v>3</v>
      </c>
      <c r="E1" s="2" t="s">
        <v>4</v>
      </c>
      <c r="F1" s="2" t="s">
        <v>5</v>
      </c>
      <c r="G1" s="2" t="s">
        <v>6</v>
      </c>
      <c r="H1" s="35" t="s">
        <v>7</v>
      </c>
      <c r="I1" s="35" t="s">
        <v>8</v>
      </c>
      <c r="J1" s="2" t="s">
        <v>9</v>
      </c>
      <c r="K1" s="35" t="s">
        <v>10</v>
      </c>
      <c r="L1" s="35" t="s">
        <v>11</v>
      </c>
      <c r="M1" s="2" t="s">
        <v>72</v>
      </c>
      <c r="N1" s="35" t="s">
        <v>89</v>
      </c>
      <c r="O1" s="35" t="s">
        <v>90</v>
      </c>
      <c r="P1" s="2" t="s">
        <v>12</v>
      </c>
      <c r="Q1" s="2" t="s">
        <v>13</v>
      </c>
      <c r="R1" s="2" t="s">
        <v>14</v>
      </c>
      <c r="S1" s="2" t="s">
        <v>15</v>
      </c>
      <c r="T1" s="2" t="s">
        <v>16</v>
      </c>
      <c r="U1" s="2" t="s">
        <v>17</v>
      </c>
      <c r="V1" s="2" t="s">
        <v>18</v>
      </c>
      <c r="W1" s="2" t="s">
        <v>19</v>
      </c>
      <c r="X1" s="2" t="s">
        <v>20</v>
      </c>
      <c r="Y1" s="2" t="s">
        <v>21</v>
      </c>
      <c r="Z1" s="2" t="s">
        <v>22</v>
      </c>
      <c r="AA1" s="2" t="s">
        <v>23</v>
      </c>
      <c r="AB1" s="2" t="s">
        <v>24</v>
      </c>
      <c r="AC1" s="2" t="s">
        <v>25</v>
      </c>
      <c r="AD1" s="2" t="s">
        <v>26</v>
      </c>
      <c r="AE1" s="2" t="s">
        <v>27</v>
      </c>
      <c r="AF1" s="2" t="s">
        <v>28</v>
      </c>
      <c r="AG1" s="2" t="s">
        <v>29</v>
      </c>
      <c r="AH1" s="2" t="s">
        <v>30</v>
      </c>
    </row>
    <row r="2" spans="1:34" s="5" customFormat="1" ht="13.8">
      <c r="A2" s="14" t="s">
        <v>31</v>
      </c>
      <c r="B2" s="16">
        <v>296722</v>
      </c>
      <c r="C2" s="36">
        <v>147487</v>
      </c>
      <c r="D2" s="36">
        <v>149235</v>
      </c>
      <c r="E2" s="16">
        <v>27116</v>
      </c>
      <c r="F2" s="16">
        <v>25733</v>
      </c>
      <c r="G2" s="16">
        <v>1383</v>
      </c>
      <c r="H2" s="36">
        <v>13933</v>
      </c>
      <c r="I2" s="36">
        <v>13183</v>
      </c>
      <c r="J2" s="16">
        <v>159782</v>
      </c>
      <c r="K2" s="36">
        <v>80746</v>
      </c>
      <c r="L2" s="36">
        <v>79036</v>
      </c>
      <c r="M2" s="16">
        <v>1145</v>
      </c>
      <c r="N2" s="36">
        <v>929</v>
      </c>
      <c r="O2" s="36">
        <v>216</v>
      </c>
      <c r="P2" s="17">
        <v>484765</v>
      </c>
      <c r="Q2" s="17">
        <f>LEB_BY_DISTRICT!F2+SYR_BY_DISTRICT!F2+PAL_BY_DISTRICT!L2</f>
        <v>53468</v>
      </c>
      <c r="R2" s="17">
        <f>LEB_BY_DISTRICT!G2+SYR_BY_DISTRICT!G2+PAL_BY_DISTRICT!M2</f>
        <v>63563</v>
      </c>
      <c r="S2" s="17">
        <f>LEB_BY_DISTRICT!H2+SYR_BY_DISTRICT!H2+PAL_BY_DISTRICT!N2</f>
        <v>55666</v>
      </c>
      <c r="T2" s="17">
        <f>LEB_BY_DISTRICT!I2+SYR_BY_DISTRICT!I2+PAL_BY_DISTRICT!O2</f>
        <v>52123</v>
      </c>
      <c r="U2" s="17">
        <f>LEB_BY_DISTRICT!J2+SYR_BY_DISTRICT!J2+PAL_BY_DISTRICT!P2</f>
        <v>44769</v>
      </c>
      <c r="V2" s="17">
        <f>LEB_BY_DISTRICT!K2+SYR_BY_DISTRICT!K2+PAL_BY_DISTRICT!Q2</f>
        <v>37321</v>
      </c>
      <c r="W2" s="17">
        <f>LEB_BY_DISTRICT!L2+SYR_BY_DISTRICT!L2+PAL_BY_DISTRICT!R2</f>
        <v>29818</v>
      </c>
      <c r="X2" s="17">
        <f>LEB_BY_DISTRICT!M2+SYR_BY_DISTRICT!M2+PAL_BY_DISTRICT!S2</f>
        <v>30228</v>
      </c>
      <c r="Y2" s="17">
        <f>LEB_BY_DISTRICT!N2+SYR_BY_DISTRICT!N2+PAL_BY_DISTRICT!T2</f>
        <v>27422</v>
      </c>
      <c r="Z2" s="17">
        <f>LEB_BY_DISTRICT!O2+SYR_BY_DISTRICT!O2+PAL_BY_DISTRICT!U2</f>
        <v>20842</v>
      </c>
      <c r="AA2" s="17">
        <f>LEB_BY_DISTRICT!P2+SYR_BY_DISTRICT!P2+PAL_BY_DISTRICT!V2</f>
        <v>19039</v>
      </c>
      <c r="AB2" s="17">
        <f>LEB_BY_DISTRICT!Q2+SYR_BY_DISTRICT!Q2+PAL_BY_DISTRICT!W2</f>
        <v>15585</v>
      </c>
      <c r="AC2" s="17">
        <f>LEB_BY_DISTRICT!R2+SYR_BY_DISTRICT!R2+PAL_BY_DISTRICT!X2</f>
        <v>10199</v>
      </c>
      <c r="AD2" s="17">
        <f>LEB_BY_DISTRICT!S2+SYR_BY_DISTRICT!S2+PAL_BY_DISTRICT!Y2</f>
        <v>8201</v>
      </c>
      <c r="AE2" s="17">
        <f>LEB_BY_DISTRICT!T2+SYR_BY_DISTRICT!T2+PAL_BY_DISTRICT!Z2</f>
        <v>6666</v>
      </c>
      <c r="AF2" s="17">
        <f>LEB_BY_DISTRICT!U2+SYR_BY_DISTRICT!U2+PAL_BY_DISTRICT!AA2</f>
        <v>4217</v>
      </c>
      <c r="AG2" s="17">
        <f>LEB_BY_DISTRICT!V2+SYR_BY_DISTRICT!V2+PAL_BY_DISTRICT!AB2</f>
        <v>2512</v>
      </c>
      <c r="AH2" s="17">
        <f>LEB_BY_DISTRICT!W2+SYR_BY_DISTRICT!W2+PAL_BY_DISTRICT!AC2</f>
        <v>1981</v>
      </c>
    </row>
    <row r="3" spans="1:34" s="4" customFormat="1" ht="13.8">
      <c r="A3" s="4" t="s">
        <v>39</v>
      </c>
      <c r="B3" s="17">
        <v>201126</v>
      </c>
      <c r="C3" s="36">
        <v>104430</v>
      </c>
      <c r="D3" s="36">
        <v>96696</v>
      </c>
      <c r="E3" s="17">
        <v>4329</v>
      </c>
      <c r="F3" s="17">
        <v>3078</v>
      </c>
      <c r="G3" s="17">
        <v>1251</v>
      </c>
      <c r="H3" s="36">
        <v>2376</v>
      </c>
      <c r="I3" s="36">
        <v>1953</v>
      </c>
      <c r="J3" s="17">
        <v>152628</v>
      </c>
      <c r="K3" s="36">
        <v>78424</v>
      </c>
      <c r="L3" s="36">
        <v>74204</v>
      </c>
      <c r="M3" s="17">
        <v>2229</v>
      </c>
      <c r="N3" s="36">
        <v>2012</v>
      </c>
      <c r="O3" s="36">
        <v>217</v>
      </c>
      <c r="P3" s="17">
        <v>360312</v>
      </c>
      <c r="Q3" s="17">
        <f>LEB_BY_DISTRICT!F3+SYR_BY_DISTRICT!F3+PAL_BY_DISTRICT!L3</f>
        <v>36834</v>
      </c>
      <c r="R3" s="17">
        <f>LEB_BY_DISTRICT!G3+SYR_BY_DISTRICT!G3+PAL_BY_DISTRICT!M3</f>
        <v>46993</v>
      </c>
      <c r="S3" s="17">
        <f>LEB_BY_DISTRICT!H3+SYR_BY_DISTRICT!H3+PAL_BY_DISTRICT!N3</f>
        <v>39078</v>
      </c>
      <c r="T3" s="17">
        <f>LEB_BY_DISTRICT!I3+SYR_BY_DISTRICT!I3+PAL_BY_DISTRICT!O3</f>
        <v>37011</v>
      </c>
      <c r="U3" s="17">
        <f>LEB_BY_DISTRICT!J3+SYR_BY_DISTRICT!J3+PAL_BY_DISTRICT!P3</f>
        <v>32537</v>
      </c>
      <c r="V3" s="17">
        <f>LEB_BY_DISTRICT!K3+SYR_BY_DISTRICT!K3+PAL_BY_DISTRICT!Q3</f>
        <v>26147</v>
      </c>
      <c r="W3" s="17">
        <f>LEB_BY_DISTRICT!L3+SYR_BY_DISTRICT!L3+PAL_BY_DISTRICT!R3</f>
        <v>21665</v>
      </c>
      <c r="X3" s="17">
        <f>LEB_BY_DISTRICT!M3+SYR_BY_DISTRICT!M3+PAL_BY_DISTRICT!S3</f>
        <v>21757</v>
      </c>
      <c r="Y3" s="17">
        <f>LEB_BY_DISTRICT!N3+SYR_BY_DISTRICT!N3+PAL_BY_DISTRICT!T3</f>
        <v>19167</v>
      </c>
      <c r="Z3" s="17">
        <f>LEB_BY_DISTRICT!O3+SYR_BY_DISTRICT!O3+PAL_BY_DISTRICT!U3</f>
        <v>18504</v>
      </c>
      <c r="AA3" s="17">
        <f>LEB_BY_DISTRICT!P3+SYR_BY_DISTRICT!P3+PAL_BY_DISTRICT!V3</f>
        <v>16997</v>
      </c>
      <c r="AB3" s="17">
        <f>LEB_BY_DISTRICT!Q3+SYR_BY_DISTRICT!Q3+PAL_BY_DISTRICT!W3</f>
        <v>12077</v>
      </c>
      <c r="AC3" s="17">
        <f>LEB_BY_DISTRICT!R3+SYR_BY_DISTRICT!R3+PAL_BY_DISTRICT!X3</f>
        <v>9524</v>
      </c>
      <c r="AD3" s="17">
        <f>LEB_BY_DISTRICT!S3+SYR_BY_DISTRICT!S3+PAL_BY_DISTRICT!Y3</f>
        <v>6695</v>
      </c>
      <c r="AE3" s="17">
        <f>LEB_BY_DISTRICT!T3+SYR_BY_DISTRICT!T3+PAL_BY_DISTRICT!Z3</f>
        <v>5147</v>
      </c>
      <c r="AF3" s="17">
        <f>LEB_BY_DISTRICT!U3+SYR_BY_DISTRICT!U3+PAL_BY_DISTRICT!AA3</f>
        <v>4110</v>
      </c>
      <c r="AG3" s="17">
        <f>LEB_BY_DISTRICT!V3+SYR_BY_DISTRICT!V3+PAL_BY_DISTRICT!AB3</f>
        <v>2217</v>
      </c>
      <c r="AH3" s="17">
        <f>LEB_BY_DISTRICT!W3+SYR_BY_DISTRICT!W3+PAL_BY_DISTRICT!AC3</f>
        <v>1623</v>
      </c>
    </row>
    <row r="4" spans="1:34" s="5" customFormat="1" ht="13.8">
      <c r="A4" s="14" t="s">
        <v>40</v>
      </c>
      <c r="B4" s="16">
        <v>19569</v>
      </c>
      <c r="C4" s="36">
        <v>9799</v>
      </c>
      <c r="D4" s="36">
        <v>9770</v>
      </c>
      <c r="E4" s="16">
        <v>0</v>
      </c>
      <c r="F4" s="16">
        <v>0</v>
      </c>
      <c r="G4" s="16">
        <v>0</v>
      </c>
      <c r="H4" s="36"/>
      <c r="I4" s="36"/>
      <c r="J4" s="16">
        <v>33274</v>
      </c>
      <c r="K4" s="36">
        <v>18172</v>
      </c>
      <c r="L4" s="36">
        <v>15102</v>
      </c>
      <c r="M4" s="16">
        <v>509</v>
      </c>
      <c r="N4" s="36">
        <v>454</v>
      </c>
      <c r="O4" s="36">
        <v>55</v>
      </c>
      <c r="P4" s="17">
        <v>53352</v>
      </c>
      <c r="Q4" s="17">
        <f>LEB_BY_DISTRICT!F4+SYR_BY_DISTRICT!F4+PAL_BY_DISTRICT!L4</f>
        <v>5716</v>
      </c>
      <c r="R4" s="17">
        <f>LEB_BY_DISTRICT!G4+SYR_BY_DISTRICT!G4+PAL_BY_DISTRICT!M4</f>
        <v>8069</v>
      </c>
      <c r="S4" s="17">
        <f>LEB_BY_DISTRICT!H4+SYR_BY_DISTRICT!H4+PAL_BY_DISTRICT!N4</f>
        <v>6993</v>
      </c>
      <c r="T4" s="17">
        <f>LEB_BY_DISTRICT!I4+SYR_BY_DISTRICT!I4+PAL_BY_DISTRICT!O4</f>
        <v>5862</v>
      </c>
      <c r="U4" s="17">
        <f>LEB_BY_DISTRICT!J4+SYR_BY_DISTRICT!J4+PAL_BY_DISTRICT!P4</f>
        <v>4610</v>
      </c>
      <c r="V4" s="17">
        <f>LEB_BY_DISTRICT!K4+SYR_BY_DISTRICT!K4+PAL_BY_DISTRICT!Q4</f>
        <v>3600</v>
      </c>
      <c r="W4" s="17">
        <f>LEB_BY_DISTRICT!L4+SYR_BY_DISTRICT!L4+PAL_BY_DISTRICT!R4</f>
        <v>2905</v>
      </c>
      <c r="X4" s="17">
        <f>LEB_BY_DISTRICT!M4+SYR_BY_DISTRICT!M4+PAL_BY_DISTRICT!S4</f>
        <v>3108</v>
      </c>
      <c r="Y4" s="17">
        <f>LEB_BY_DISTRICT!N4+SYR_BY_DISTRICT!N4+PAL_BY_DISTRICT!T4</f>
        <v>2779</v>
      </c>
      <c r="Z4" s="17">
        <f>LEB_BY_DISTRICT!O4+SYR_BY_DISTRICT!O4+PAL_BY_DISTRICT!U4</f>
        <v>2490</v>
      </c>
      <c r="AA4" s="17">
        <f>LEB_BY_DISTRICT!P4+SYR_BY_DISTRICT!P4+PAL_BY_DISTRICT!V4</f>
        <v>2025</v>
      </c>
      <c r="AB4" s="17">
        <f>LEB_BY_DISTRICT!Q4+SYR_BY_DISTRICT!Q4+PAL_BY_DISTRICT!W4</f>
        <v>1430</v>
      </c>
      <c r="AC4" s="17">
        <f>LEB_BY_DISTRICT!R4+SYR_BY_DISTRICT!R4+PAL_BY_DISTRICT!X4</f>
        <v>1049</v>
      </c>
      <c r="AD4" s="17">
        <f>LEB_BY_DISTRICT!S4+SYR_BY_DISTRICT!S4+PAL_BY_DISTRICT!Y4</f>
        <v>786</v>
      </c>
      <c r="AE4" s="17">
        <f>LEB_BY_DISTRICT!T4+SYR_BY_DISTRICT!T4+PAL_BY_DISTRICT!Z4</f>
        <v>601</v>
      </c>
      <c r="AF4" s="17">
        <f>LEB_BY_DISTRICT!U4+SYR_BY_DISTRICT!U4+PAL_BY_DISTRICT!AA4</f>
        <v>437</v>
      </c>
      <c r="AG4" s="17">
        <f>LEB_BY_DISTRICT!V4+SYR_BY_DISTRICT!V4+PAL_BY_DISTRICT!AB4</f>
        <v>229</v>
      </c>
      <c r="AH4" s="17">
        <f>LEB_BY_DISTRICT!W4+SYR_BY_DISTRICT!W4+PAL_BY_DISTRICT!AC4</f>
        <v>154</v>
      </c>
    </row>
    <row r="5" spans="1:34" s="4" customFormat="1" ht="13.8">
      <c r="A5" s="4" t="s">
        <v>33</v>
      </c>
      <c r="B5" s="17">
        <v>237027</v>
      </c>
      <c r="C5" s="36">
        <v>128048</v>
      </c>
      <c r="D5" s="36">
        <v>108979</v>
      </c>
      <c r="E5" s="17">
        <v>7171</v>
      </c>
      <c r="F5" s="17">
        <v>6652</v>
      </c>
      <c r="G5" s="17">
        <v>519</v>
      </c>
      <c r="H5" s="36">
        <v>3593</v>
      </c>
      <c r="I5" s="36">
        <v>3578</v>
      </c>
      <c r="J5" s="17">
        <v>32892</v>
      </c>
      <c r="K5" s="36">
        <v>15657</v>
      </c>
      <c r="L5" s="36">
        <v>17235</v>
      </c>
      <c r="M5" s="17">
        <v>25920</v>
      </c>
      <c r="N5" s="36">
        <v>18109</v>
      </c>
      <c r="O5" s="36">
        <v>7811</v>
      </c>
      <c r="P5" s="17">
        <v>303010</v>
      </c>
      <c r="Q5" s="17">
        <f>LEB_BY_DISTRICT!F5+SYR_BY_DISTRICT!F5+PAL_BY_DISTRICT!L5</f>
        <v>19890</v>
      </c>
      <c r="R5" s="17">
        <f>LEB_BY_DISTRICT!G5+SYR_BY_DISTRICT!G5+PAL_BY_DISTRICT!M5</f>
        <v>21188</v>
      </c>
      <c r="S5" s="17">
        <f>LEB_BY_DISTRICT!H5+SYR_BY_DISTRICT!H5+PAL_BY_DISTRICT!N5</f>
        <v>19674</v>
      </c>
      <c r="T5" s="17">
        <f>LEB_BY_DISTRICT!I5+SYR_BY_DISTRICT!I5+PAL_BY_DISTRICT!O5</f>
        <v>19438</v>
      </c>
      <c r="U5" s="17">
        <f>LEB_BY_DISTRICT!J5+SYR_BY_DISTRICT!J5+PAL_BY_DISTRICT!P5</f>
        <v>23535</v>
      </c>
      <c r="V5" s="17">
        <f>LEB_BY_DISTRICT!K5+SYR_BY_DISTRICT!K5+PAL_BY_DISTRICT!Q5</f>
        <v>23812</v>
      </c>
      <c r="W5" s="17">
        <f>LEB_BY_DISTRICT!L5+SYR_BY_DISTRICT!L5+PAL_BY_DISTRICT!R5</f>
        <v>20826</v>
      </c>
      <c r="X5" s="17">
        <f>LEB_BY_DISTRICT!M5+SYR_BY_DISTRICT!M5+PAL_BY_DISTRICT!S5</f>
        <v>17730</v>
      </c>
      <c r="Y5" s="17">
        <f>LEB_BY_DISTRICT!N5+SYR_BY_DISTRICT!N5+PAL_BY_DISTRICT!T5</f>
        <v>16058</v>
      </c>
      <c r="Z5" s="17">
        <f>LEB_BY_DISTRICT!O5+SYR_BY_DISTRICT!O5+PAL_BY_DISTRICT!U5</f>
        <v>13256</v>
      </c>
      <c r="AA5" s="17">
        <f>LEB_BY_DISTRICT!P5+SYR_BY_DISTRICT!P5+PAL_BY_DISTRICT!V5</f>
        <v>13681</v>
      </c>
      <c r="AB5" s="17">
        <f>LEB_BY_DISTRICT!Q5+SYR_BY_DISTRICT!Q5+PAL_BY_DISTRICT!W5</f>
        <v>12880</v>
      </c>
      <c r="AC5" s="17">
        <f>LEB_BY_DISTRICT!R5+SYR_BY_DISTRICT!R5+PAL_BY_DISTRICT!X5</f>
        <v>14422</v>
      </c>
      <c r="AD5" s="17">
        <f>LEB_BY_DISTRICT!S5+SYR_BY_DISTRICT!S5+PAL_BY_DISTRICT!Y5</f>
        <v>10938</v>
      </c>
      <c r="AE5" s="17">
        <f>LEB_BY_DISTRICT!T5+SYR_BY_DISTRICT!T5+PAL_BY_DISTRICT!Z5</f>
        <v>10425</v>
      </c>
      <c r="AF5" s="17">
        <f>LEB_BY_DISTRICT!U5+SYR_BY_DISTRICT!U5+PAL_BY_DISTRICT!AA5</f>
        <v>7489</v>
      </c>
      <c r="AG5" s="17">
        <f>LEB_BY_DISTRICT!V5+SYR_BY_DISTRICT!V5+PAL_BY_DISTRICT!AB5</f>
        <v>6661</v>
      </c>
      <c r="AH5" s="17">
        <f>LEB_BY_DISTRICT!W5+SYR_BY_DISTRICT!W5+PAL_BY_DISTRICT!AC5</f>
        <v>5187</v>
      </c>
    </row>
    <row r="6" spans="1:34" s="5" customFormat="1" ht="13.8">
      <c r="A6" s="14" t="s">
        <v>41</v>
      </c>
      <c r="B6" s="16">
        <v>31665</v>
      </c>
      <c r="C6" s="36">
        <v>15883</v>
      </c>
      <c r="D6" s="36">
        <v>15782</v>
      </c>
      <c r="E6" s="16">
        <v>0</v>
      </c>
      <c r="F6" s="16">
        <v>0</v>
      </c>
      <c r="G6" s="16">
        <v>0</v>
      </c>
      <c r="H6" s="36"/>
      <c r="I6" s="36"/>
      <c r="J6" s="16">
        <v>4031</v>
      </c>
      <c r="K6" s="36">
        <v>2020</v>
      </c>
      <c r="L6" s="36">
        <v>2011</v>
      </c>
      <c r="M6" s="16">
        <v>310</v>
      </c>
      <c r="N6" s="36">
        <v>294</v>
      </c>
      <c r="O6" s="36">
        <v>16</v>
      </c>
      <c r="P6" s="17">
        <v>36006</v>
      </c>
      <c r="Q6" s="17">
        <f>LEB_BY_DISTRICT!F6+SYR_BY_DISTRICT!F6+PAL_BY_DISTRICT!L6</f>
        <v>2964</v>
      </c>
      <c r="R6" s="17">
        <f>LEB_BY_DISTRICT!G6+SYR_BY_DISTRICT!G6+PAL_BY_DISTRICT!M6</f>
        <v>3456</v>
      </c>
      <c r="S6" s="17">
        <f>LEB_BY_DISTRICT!H6+SYR_BY_DISTRICT!H6+PAL_BY_DISTRICT!N6</f>
        <v>3130</v>
      </c>
      <c r="T6" s="17">
        <f>LEB_BY_DISTRICT!I6+SYR_BY_DISTRICT!I6+PAL_BY_DISTRICT!O6</f>
        <v>3143</v>
      </c>
      <c r="U6" s="17">
        <f>LEB_BY_DISTRICT!J6+SYR_BY_DISTRICT!J6+PAL_BY_DISTRICT!P6</f>
        <v>3228</v>
      </c>
      <c r="V6" s="17">
        <f>LEB_BY_DISTRICT!K6+SYR_BY_DISTRICT!K6+PAL_BY_DISTRICT!Q6</f>
        <v>2650</v>
      </c>
      <c r="W6" s="17">
        <f>LEB_BY_DISTRICT!L6+SYR_BY_DISTRICT!L6+PAL_BY_DISTRICT!R6</f>
        <v>2373</v>
      </c>
      <c r="X6" s="17">
        <f>LEB_BY_DISTRICT!M6+SYR_BY_DISTRICT!M6+PAL_BY_DISTRICT!S6</f>
        <v>2220</v>
      </c>
      <c r="Y6" s="17">
        <f>LEB_BY_DISTRICT!N6+SYR_BY_DISTRICT!N6+PAL_BY_DISTRICT!T6</f>
        <v>1905</v>
      </c>
      <c r="Z6" s="17">
        <f>LEB_BY_DISTRICT!O6+SYR_BY_DISTRICT!O6+PAL_BY_DISTRICT!U6</f>
        <v>2069</v>
      </c>
      <c r="AA6" s="17">
        <f>LEB_BY_DISTRICT!P6+SYR_BY_DISTRICT!P6+PAL_BY_DISTRICT!V6</f>
        <v>2215</v>
      </c>
      <c r="AB6" s="17">
        <f>LEB_BY_DISTRICT!Q6+SYR_BY_DISTRICT!Q6+PAL_BY_DISTRICT!W6</f>
        <v>1695</v>
      </c>
      <c r="AC6" s="17">
        <f>LEB_BY_DISTRICT!R6+SYR_BY_DISTRICT!R6+PAL_BY_DISTRICT!X6</f>
        <v>1344</v>
      </c>
      <c r="AD6" s="17">
        <f>LEB_BY_DISTRICT!S6+SYR_BY_DISTRICT!S6+PAL_BY_DISTRICT!Y6</f>
        <v>990</v>
      </c>
      <c r="AE6" s="17">
        <f>LEB_BY_DISTRICT!T6+SYR_BY_DISTRICT!T6+PAL_BY_DISTRICT!Z6</f>
        <v>890</v>
      </c>
      <c r="AF6" s="17">
        <f>LEB_BY_DISTRICT!U6+SYR_BY_DISTRICT!U6+PAL_BY_DISTRICT!AA6</f>
        <v>675</v>
      </c>
      <c r="AG6" s="17">
        <f>LEB_BY_DISTRICT!V6+SYR_BY_DISTRICT!V6+PAL_BY_DISTRICT!AB6</f>
        <v>421</v>
      </c>
      <c r="AH6" s="17">
        <f>LEB_BY_DISTRICT!W6+SYR_BY_DISTRICT!W6+PAL_BY_DISTRICT!AC6</f>
        <v>328</v>
      </c>
    </row>
    <row r="7" spans="1:34" s="4" customFormat="1" ht="13.8">
      <c r="A7" s="4" t="s">
        <v>42</v>
      </c>
      <c r="B7" s="17">
        <v>67540</v>
      </c>
      <c r="C7" s="36">
        <v>34657</v>
      </c>
      <c r="D7" s="36">
        <v>32883</v>
      </c>
      <c r="E7" s="17">
        <v>1731</v>
      </c>
      <c r="F7" s="17">
        <v>1015</v>
      </c>
      <c r="G7" s="17">
        <v>716</v>
      </c>
      <c r="H7" s="36">
        <v>910</v>
      </c>
      <c r="I7" s="36">
        <v>821</v>
      </c>
      <c r="J7" s="17">
        <v>52586</v>
      </c>
      <c r="K7" s="36">
        <v>26716</v>
      </c>
      <c r="L7" s="36">
        <v>25870</v>
      </c>
      <c r="M7" s="17">
        <v>1862</v>
      </c>
      <c r="N7" s="36">
        <v>1732</v>
      </c>
      <c r="O7" s="36">
        <v>130</v>
      </c>
      <c r="P7" s="17">
        <v>123719</v>
      </c>
      <c r="Q7" s="17">
        <f>LEB_BY_DISTRICT!F7+SYR_BY_DISTRICT!F7+PAL_BY_DISTRICT!L7</f>
        <v>11946</v>
      </c>
      <c r="R7" s="17">
        <f>LEB_BY_DISTRICT!G7+SYR_BY_DISTRICT!G7+PAL_BY_DISTRICT!M7</f>
        <v>15281</v>
      </c>
      <c r="S7" s="17">
        <f>LEB_BY_DISTRICT!H7+SYR_BY_DISTRICT!H7+PAL_BY_DISTRICT!N7</f>
        <v>13130</v>
      </c>
      <c r="T7" s="17">
        <f>LEB_BY_DISTRICT!I7+SYR_BY_DISTRICT!I7+PAL_BY_DISTRICT!O7</f>
        <v>12163</v>
      </c>
      <c r="U7" s="17">
        <f>LEB_BY_DISTRICT!J7+SYR_BY_DISTRICT!J7+PAL_BY_DISTRICT!P7</f>
        <v>10945</v>
      </c>
      <c r="V7" s="17">
        <f>LEB_BY_DISTRICT!K7+SYR_BY_DISTRICT!K7+PAL_BY_DISTRICT!Q7</f>
        <v>8864</v>
      </c>
      <c r="W7" s="17">
        <f>LEB_BY_DISTRICT!L7+SYR_BY_DISTRICT!L7+PAL_BY_DISTRICT!R7</f>
        <v>7644</v>
      </c>
      <c r="X7" s="17">
        <f>LEB_BY_DISTRICT!M7+SYR_BY_DISTRICT!M7+PAL_BY_DISTRICT!S7</f>
        <v>7462</v>
      </c>
      <c r="Y7" s="17">
        <f>LEB_BY_DISTRICT!N7+SYR_BY_DISTRICT!N7+PAL_BY_DISTRICT!T7</f>
        <v>6488</v>
      </c>
      <c r="Z7" s="17">
        <f>LEB_BY_DISTRICT!O7+SYR_BY_DISTRICT!O7+PAL_BY_DISTRICT!U7</f>
        <v>6168</v>
      </c>
      <c r="AA7" s="17">
        <f>LEB_BY_DISTRICT!P7+SYR_BY_DISTRICT!P7+PAL_BY_DISTRICT!V7</f>
        <v>5913</v>
      </c>
      <c r="AB7" s="17">
        <f>LEB_BY_DISTRICT!Q7+SYR_BY_DISTRICT!Q7+PAL_BY_DISTRICT!W7</f>
        <v>4533</v>
      </c>
      <c r="AC7" s="17">
        <f>LEB_BY_DISTRICT!R7+SYR_BY_DISTRICT!R7+PAL_BY_DISTRICT!X7</f>
        <v>3441</v>
      </c>
      <c r="AD7" s="17">
        <f>LEB_BY_DISTRICT!S7+SYR_BY_DISTRICT!S7+PAL_BY_DISTRICT!Y7</f>
        <v>2491</v>
      </c>
      <c r="AE7" s="17">
        <f>LEB_BY_DISTRICT!T7+SYR_BY_DISTRICT!T7+PAL_BY_DISTRICT!Z7</f>
        <v>2094</v>
      </c>
      <c r="AF7" s="17">
        <f>LEB_BY_DISTRICT!U7+SYR_BY_DISTRICT!U7+PAL_BY_DISTRICT!AA7</f>
        <v>1576</v>
      </c>
      <c r="AG7" s="17">
        <f>LEB_BY_DISTRICT!V7+SYR_BY_DISTRICT!V7+PAL_BY_DISTRICT!AB7</f>
        <v>967</v>
      </c>
      <c r="AH7" s="17">
        <f>LEB_BY_DISTRICT!W7+SYR_BY_DISTRICT!W7+PAL_BY_DISTRICT!AC7</f>
        <v>751</v>
      </c>
    </row>
    <row r="8" spans="1:34" s="5" customFormat="1" ht="13.8">
      <c r="A8" s="14" t="s">
        <v>43</v>
      </c>
      <c r="B8" s="16">
        <v>139399</v>
      </c>
      <c r="C8" s="36">
        <v>70187</v>
      </c>
      <c r="D8" s="36">
        <v>69212</v>
      </c>
      <c r="E8" s="16">
        <v>8764</v>
      </c>
      <c r="F8" s="16">
        <v>6504</v>
      </c>
      <c r="G8" s="16">
        <v>2260</v>
      </c>
      <c r="H8" s="36">
        <v>4565</v>
      </c>
      <c r="I8" s="36">
        <v>4199</v>
      </c>
      <c r="J8" s="16">
        <v>136032</v>
      </c>
      <c r="K8" s="36">
        <v>69859</v>
      </c>
      <c r="L8" s="36">
        <v>66173</v>
      </c>
      <c r="M8" s="16">
        <v>3419</v>
      </c>
      <c r="N8" s="36">
        <v>2958</v>
      </c>
      <c r="O8" s="36">
        <v>461</v>
      </c>
      <c r="P8" s="17">
        <v>287614</v>
      </c>
      <c r="Q8" s="17">
        <f>LEB_BY_DISTRICT!F8+SYR_BY_DISTRICT!F8+PAL_BY_DISTRICT!L8</f>
        <v>28296</v>
      </c>
      <c r="R8" s="17">
        <f>LEB_BY_DISTRICT!G8+SYR_BY_DISTRICT!G8+PAL_BY_DISTRICT!M8</f>
        <v>38220</v>
      </c>
      <c r="S8" s="17">
        <f>LEB_BY_DISTRICT!H8+SYR_BY_DISTRICT!H8+PAL_BY_DISTRICT!N8</f>
        <v>31819</v>
      </c>
      <c r="T8" s="17">
        <f>LEB_BY_DISTRICT!I8+SYR_BY_DISTRICT!I8+PAL_BY_DISTRICT!O8</f>
        <v>28195</v>
      </c>
      <c r="U8" s="17">
        <f>LEB_BY_DISTRICT!J8+SYR_BY_DISTRICT!J8+PAL_BY_DISTRICT!P8</f>
        <v>24953</v>
      </c>
      <c r="V8" s="17">
        <f>LEB_BY_DISTRICT!K8+SYR_BY_DISTRICT!K8+PAL_BY_DISTRICT!Q8</f>
        <v>20739</v>
      </c>
      <c r="W8" s="17">
        <f>LEB_BY_DISTRICT!L8+SYR_BY_DISTRICT!L8+PAL_BY_DISTRICT!R8</f>
        <v>17667</v>
      </c>
      <c r="X8" s="17">
        <f>LEB_BY_DISTRICT!M8+SYR_BY_DISTRICT!M8+PAL_BY_DISTRICT!S8</f>
        <v>17369</v>
      </c>
      <c r="Y8" s="17">
        <f>LEB_BY_DISTRICT!N8+SYR_BY_DISTRICT!N8+PAL_BY_DISTRICT!T8</f>
        <v>15021</v>
      </c>
      <c r="Z8" s="17">
        <f>LEB_BY_DISTRICT!O8+SYR_BY_DISTRICT!O8+PAL_BY_DISTRICT!U8</f>
        <v>13913</v>
      </c>
      <c r="AA8" s="17">
        <f>LEB_BY_DISTRICT!P8+SYR_BY_DISTRICT!P8+PAL_BY_DISTRICT!V8</f>
        <v>13143</v>
      </c>
      <c r="AB8" s="17">
        <f>LEB_BY_DISTRICT!Q8+SYR_BY_DISTRICT!Q8+PAL_BY_DISTRICT!W8</f>
        <v>9976</v>
      </c>
      <c r="AC8" s="17">
        <f>LEB_BY_DISTRICT!R8+SYR_BY_DISTRICT!R8+PAL_BY_DISTRICT!X8</f>
        <v>7697</v>
      </c>
      <c r="AD8" s="17">
        <f>LEB_BY_DISTRICT!S8+SYR_BY_DISTRICT!S8+PAL_BY_DISTRICT!Y8</f>
        <v>5532</v>
      </c>
      <c r="AE8" s="17">
        <f>LEB_BY_DISTRICT!T8+SYR_BY_DISTRICT!T8+PAL_BY_DISTRICT!Z8</f>
        <v>4576</v>
      </c>
      <c r="AF8" s="17">
        <f>LEB_BY_DISTRICT!U8+SYR_BY_DISTRICT!U8+PAL_BY_DISTRICT!AA8</f>
        <v>3377</v>
      </c>
      <c r="AG8" s="17">
        <f>LEB_BY_DISTRICT!V8+SYR_BY_DISTRICT!V8+PAL_BY_DISTRICT!AB8</f>
        <v>2082</v>
      </c>
      <c r="AH8" s="17">
        <f>LEB_BY_DISTRICT!W8+SYR_BY_DISTRICT!W8+PAL_BY_DISTRICT!AC8</f>
        <v>1620</v>
      </c>
    </row>
    <row r="9" spans="1:34" s="4" customFormat="1" ht="13.8">
      <c r="A9" s="4" t="s">
        <v>44</v>
      </c>
      <c r="B9" s="17">
        <v>215290</v>
      </c>
      <c r="C9" s="36">
        <v>107754</v>
      </c>
      <c r="D9" s="36">
        <v>107536</v>
      </c>
      <c r="E9" s="17">
        <v>2939</v>
      </c>
      <c r="F9" s="17">
        <v>2385</v>
      </c>
      <c r="G9" s="17">
        <v>554</v>
      </c>
      <c r="H9" s="36">
        <v>1513</v>
      </c>
      <c r="I9" s="36">
        <v>1426</v>
      </c>
      <c r="J9" s="17">
        <v>67499</v>
      </c>
      <c r="K9" s="36">
        <v>32974</v>
      </c>
      <c r="L9" s="36">
        <v>34525</v>
      </c>
      <c r="M9" s="17">
        <v>14618</v>
      </c>
      <c r="N9" s="36">
        <v>11170</v>
      </c>
      <c r="O9" s="36">
        <v>3448</v>
      </c>
      <c r="P9" s="17">
        <v>300346</v>
      </c>
      <c r="Q9" s="17">
        <f>LEB_BY_DISTRICT!F9+SYR_BY_DISTRICT!F9+PAL_BY_DISTRICT!L9</f>
        <v>23630</v>
      </c>
      <c r="R9" s="17">
        <f>LEB_BY_DISTRICT!G9+SYR_BY_DISTRICT!G9+PAL_BY_DISTRICT!M9</f>
        <v>27908</v>
      </c>
      <c r="S9" s="17">
        <f>LEB_BY_DISTRICT!H9+SYR_BY_DISTRICT!H9+PAL_BY_DISTRICT!N9</f>
        <v>24318</v>
      </c>
      <c r="T9" s="17">
        <f>LEB_BY_DISTRICT!I9+SYR_BY_DISTRICT!I9+PAL_BY_DISTRICT!O9</f>
        <v>23577</v>
      </c>
      <c r="U9" s="17">
        <f>LEB_BY_DISTRICT!J9+SYR_BY_DISTRICT!J9+PAL_BY_DISTRICT!P9</f>
        <v>24995</v>
      </c>
      <c r="V9" s="17">
        <f>LEB_BY_DISTRICT!K9+SYR_BY_DISTRICT!K9+PAL_BY_DISTRICT!Q9</f>
        <v>23127</v>
      </c>
      <c r="W9" s="17">
        <f>LEB_BY_DISTRICT!L9+SYR_BY_DISTRICT!L9+PAL_BY_DISTRICT!R9</f>
        <v>20112</v>
      </c>
      <c r="X9" s="17">
        <f>LEB_BY_DISTRICT!M9+SYR_BY_DISTRICT!M9+PAL_BY_DISTRICT!S9</f>
        <v>19448</v>
      </c>
      <c r="Y9" s="17">
        <f>LEB_BY_DISTRICT!N9+SYR_BY_DISTRICT!N9+PAL_BY_DISTRICT!T9</f>
        <v>16578</v>
      </c>
      <c r="Z9" s="17">
        <f>LEB_BY_DISTRICT!O9+SYR_BY_DISTRICT!O9+PAL_BY_DISTRICT!U9</f>
        <v>14900</v>
      </c>
      <c r="AA9" s="17">
        <f>LEB_BY_DISTRICT!P9+SYR_BY_DISTRICT!P9+PAL_BY_DISTRICT!V9</f>
        <v>15446</v>
      </c>
      <c r="AB9" s="17">
        <f>LEB_BY_DISTRICT!Q9+SYR_BY_DISTRICT!Q9+PAL_BY_DISTRICT!W9</f>
        <v>13217</v>
      </c>
      <c r="AC9" s="17">
        <f>LEB_BY_DISTRICT!R9+SYR_BY_DISTRICT!R9+PAL_BY_DISTRICT!X9</f>
        <v>11038</v>
      </c>
      <c r="AD9" s="17">
        <f>LEB_BY_DISTRICT!S9+SYR_BY_DISTRICT!S9+PAL_BY_DISTRICT!Y9</f>
        <v>8972</v>
      </c>
      <c r="AE9" s="17">
        <f>LEB_BY_DISTRICT!T9+SYR_BY_DISTRICT!T9+PAL_BY_DISTRICT!Z9</f>
        <v>6826</v>
      </c>
      <c r="AF9" s="17">
        <f>LEB_BY_DISTRICT!U9+SYR_BY_DISTRICT!U9+PAL_BY_DISTRICT!AA9</f>
        <v>5046</v>
      </c>
      <c r="AG9" s="17">
        <f>LEB_BY_DISTRICT!V9+SYR_BY_DISTRICT!V9+PAL_BY_DISTRICT!AB9</f>
        <v>3779</v>
      </c>
      <c r="AH9" s="17">
        <f>LEB_BY_DISTRICT!W9+SYR_BY_DISTRICT!W9+PAL_BY_DISTRICT!AC9</f>
        <v>2811</v>
      </c>
    </row>
    <row r="10" spans="1:34" s="5" customFormat="1" ht="13.8">
      <c r="A10" s="14" t="s">
        <v>45</v>
      </c>
      <c r="B10" s="16">
        <v>408641</v>
      </c>
      <c r="C10" s="36">
        <v>213123</v>
      </c>
      <c r="D10" s="36">
        <v>195518</v>
      </c>
      <c r="E10" s="16">
        <v>26188</v>
      </c>
      <c r="F10" s="16">
        <v>23190</v>
      </c>
      <c r="G10" s="16">
        <v>2998</v>
      </c>
      <c r="H10" s="36">
        <v>13408</v>
      </c>
      <c r="I10" s="36">
        <v>12780</v>
      </c>
      <c r="J10" s="16">
        <v>112767</v>
      </c>
      <c r="K10" s="36">
        <v>54691</v>
      </c>
      <c r="L10" s="36">
        <v>58076</v>
      </c>
      <c r="M10" s="16">
        <v>20700</v>
      </c>
      <c r="N10" s="36">
        <v>14482</v>
      </c>
      <c r="O10" s="36">
        <v>6218</v>
      </c>
      <c r="P10" s="17">
        <v>568296</v>
      </c>
      <c r="Q10" s="17">
        <f>LEB_BY_DISTRICT!F10+SYR_BY_DISTRICT!F10+PAL_BY_DISTRICT!L10</f>
        <v>45385</v>
      </c>
      <c r="R10" s="17">
        <f>LEB_BY_DISTRICT!G10+SYR_BY_DISTRICT!G10+PAL_BY_DISTRICT!M10</f>
        <v>53191</v>
      </c>
      <c r="S10" s="17">
        <f>LEB_BY_DISTRICT!H10+SYR_BY_DISTRICT!H10+PAL_BY_DISTRICT!N10</f>
        <v>46405</v>
      </c>
      <c r="T10" s="17">
        <f>LEB_BY_DISTRICT!I10+SYR_BY_DISTRICT!I10+PAL_BY_DISTRICT!O10</f>
        <v>45128</v>
      </c>
      <c r="U10" s="17">
        <f>LEB_BY_DISTRICT!J10+SYR_BY_DISTRICT!J10+PAL_BY_DISTRICT!P10</f>
        <v>48013</v>
      </c>
      <c r="V10" s="17">
        <f>LEB_BY_DISTRICT!K10+SYR_BY_DISTRICT!K10+PAL_BY_DISTRICT!Q10</f>
        <v>43862</v>
      </c>
      <c r="W10" s="17">
        <f>LEB_BY_DISTRICT!L10+SYR_BY_DISTRICT!L10+PAL_BY_DISTRICT!R10</f>
        <v>38063</v>
      </c>
      <c r="X10" s="17">
        <f>LEB_BY_DISTRICT!M10+SYR_BY_DISTRICT!M10+PAL_BY_DISTRICT!S10</f>
        <v>36524</v>
      </c>
      <c r="Y10" s="17">
        <f>LEB_BY_DISTRICT!N10+SYR_BY_DISTRICT!N10+PAL_BY_DISTRICT!T10</f>
        <v>31523</v>
      </c>
      <c r="Z10" s="17">
        <f>LEB_BY_DISTRICT!O10+SYR_BY_DISTRICT!O10+PAL_BY_DISTRICT!U10</f>
        <v>28381</v>
      </c>
      <c r="AA10" s="17">
        <f>LEB_BY_DISTRICT!P10+SYR_BY_DISTRICT!P10+PAL_BY_DISTRICT!V10</f>
        <v>29690</v>
      </c>
      <c r="AB10" s="17">
        <f>LEB_BY_DISTRICT!Q10+SYR_BY_DISTRICT!Q10+PAL_BY_DISTRICT!W10</f>
        <v>25752</v>
      </c>
      <c r="AC10" s="17">
        <f>LEB_BY_DISTRICT!R10+SYR_BY_DISTRICT!R10+PAL_BY_DISTRICT!X10</f>
        <v>21734</v>
      </c>
      <c r="AD10" s="17">
        <f>LEB_BY_DISTRICT!S10+SYR_BY_DISTRICT!S10+PAL_BY_DISTRICT!Y10</f>
        <v>17644</v>
      </c>
      <c r="AE10" s="17">
        <f>LEB_BY_DISTRICT!T10+SYR_BY_DISTRICT!T10+PAL_BY_DISTRICT!Z10</f>
        <v>13397</v>
      </c>
      <c r="AF10" s="17">
        <f>LEB_BY_DISTRICT!U10+SYR_BY_DISTRICT!U10+PAL_BY_DISTRICT!AA10</f>
        <v>9920</v>
      </c>
      <c r="AG10" s="17">
        <f>LEB_BY_DISTRICT!V10+SYR_BY_DISTRICT!V10+PAL_BY_DISTRICT!AB10</f>
        <v>7486</v>
      </c>
      <c r="AH10" s="17">
        <f>LEB_BY_DISTRICT!W10+SYR_BY_DISTRICT!W10+PAL_BY_DISTRICT!AC10</f>
        <v>5498</v>
      </c>
    </row>
    <row r="11" spans="1:34" s="4" customFormat="1" ht="13.8">
      <c r="A11" s="4" t="s">
        <v>46</v>
      </c>
      <c r="B11" s="17">
        <v>208477</v>
      </c>
      <c r="C11" s="36">
        <v>106086</v>
      </c>
      <c r="D11" s="36">
        <v>102391</v>
      </c>
      <c r="E11" s="17">
        <v>9793</v>
      </c>
      <c r="F11" s="17">
        <v>8213</v>
      </c>
      <c r="G11" s="17">
        <v>1580</v>
      </c>
      <c r="H11" s="36">
        <v>5068</v>
      </c>
      <c r="I11" s="36">
        <v>4725</v>
      </c>
      <c r="J11" s="17">
        <v>46686</v>
      </c>
      <c r="K11" s="36">
        <v>22965</v>
      </c>
      <c r="L11" s="36">
        <v>23721</v>
      </c>
      <c r="M11" s="17">
        <v>5521</v>
      </c>
      <c r="N11" s="36">
        <v>4236</v>
      </c>
      <c r="O11" s="36">
        <v>1285</v>
      </c>
      <c r="P11" s="17">
        <v>270477</v>
      </c>
      <c r="Q11" s="17">
        <f>LEB_BY_DISTRICT!F11+SYR_BY_DISTRICT!F11+PAL_BY_DISTRICT!L11</f>
        <v>20812</v>
      </c>
      <c r="R11" s="17">
        <f>LEB_BY_DISTRICT!G11+SYR_BY_DISTRICT!G11+PAL_BY_DISTRICT!M11</f>
        <v>24492</v>
      </c>
      <c r="S11" s="17">
        <f>LEB_BY_DISTRICT!H11+SYR_BY_DISTRICT!H11+PAL_BY_DISTRICT!N11</f>
        <v>21973</v>
      </c>
      <c r="T11" s="17">
        <f>LEB_BY_DISTRICT!I11+SYR_BY_DISTRICT!I11+PAL_BY_DISTRICT!O11</f>
        <v>22106</v>
      </c>
      <c r="U11" s="17">
        <f>LEB_BY_DISTRICT!J11+SYR_BY_DISTRICT!J11+PAL_BY_DISTRICT!P11</f>
        <v>23199</v>
      </c>
      <c r="V11" s="17">
        <f>LEB_BY_DISTRICT!K11+SYR_BY_DISTRICT!K11+PAL_BY_DISTRICT!Q11</f>
        <v>20895</v>
      </c>
      <c r="W11" s="17">
        <f>LEB_BY_DISTRICT!L11+SYR_BY_DISTRICT!L11+PAL_BY_DISTRICT!R11</f>
        <v>18427</v>
      </c>
      <c r="X11" s="17">
        <f>LEB_BY_DISTRICT!M11+SYR_BY_DISTRICT!M11+PAL_BY_DISTRICT!S11</f>
        <v>17616</v>
      </c>
      <c r="Y11" s="17">
        <f>LEB_BY_DISTRICT!N11+SYR_BY_DISTRICT!N11+PAL_BY_DISTRICT!T11</f>
        <v>15520</v>
      </c>
      <c r="Z11" s="17">
        <f>LEB_BY_DISTRICT!O11+SYR_BY_DISTRICT!O11+PAL_BY_DISTRICT!U11</f>
        <v>14243</v>
      </c>
      <c r="AA11" s="17">
        <f>LEB_BY_DISTRICT!P11+SYR_BY_DISTRICT!P11+PAL_BY_DISTRICT!V11</f>
        <v>14923</v>
      </c>
      <c r="AB11" s="17">
        <f>LEB_BY_DISTRICT!Q11+SYR_BY_DISTRICT!Q11+PAL_BY_DISTRICT!W11</f>
        <v>12882</v>
      </c>
      <c r="AC11" s="17">
        <f>LEB_BY_DISTRICT!R11+SYR_BY_DISTRICT!R11+PAL_BY_DISTRICT!X11</f>
        <v>10853</v>
      </c>
      <c r="AD11" s="17">
        <f>LEB_BY_DISTRICT!S11+SYR_BY_DISTRICT!S11+PAL_BY_DISTRICT!Y11</f>
        <v>8802</v>
      </c>
      <c r="AE11" s="17">
        <f>LEB_BY_DISTRICT!T11+SYR_BY_DISTRICT!T11+PAL_BY_DISTRICT!Z11</f>
        <v>6714</v>
      </c>
      <c r="AF11" s="17">
        <f>LEB_BY_DISTRICT!U11+SYR_BY_DISTRICT!U11+PAL_BY_DISTRICT!AA11</f>
        <v>5012</v>
      </c>
      <c r="AG11" s="17">
        <f>LEB_BY_DISTRICT!V11+SYR_BY_DISTRICT!V11+PAL_BY_DISTRICT!AB11</f>
        <v>3736</v>
      </c>
      <c r="AH11" s="17">
        <f>LEB_BY_DISTRICT!W11+SYR_BY_DISTRICT!W11+PAL_BY_DISTRICT!AC11</f>
        <v>2751</v>
      </c>
    </row>
    <row r="12" spans="1:34" s="5" customFormat="1" ht="13.8">
      <c r="A12" s="14" t="s">
        <v>47</v>
      </c>
      <c r="B12" s="16">
        <v>396657</v>
      </c>
      <c r="C12" s="36">
        <v>202787</v>
      </c>
      <c r="D12" s="36">
        <v>193870</v>
      </c>
      <c r="E12" s="16">
        <v>1919</v>
      </c>
      <c r="F12" s="16">
        <v>1836</v>
      </c>
      <c r="G12" s="16">
        <v>83</v>
      </c>
      <c r="H12" s="36">
        <v>1024</v>
      </c>
      <c r="I12" s="36">
        <v>895</v>
      </c>
      <c r="J12" s="16">
        <v>52252</v>
      </c>
      <c r="K12" s="36">
        <v>24563</v>
      </c>
      <c r="L12" s="36">
        <v>27689</v>
      </c>
      <c r="M12" s="16">
        <v>44772</v>
      </c>
      <c r="N12" s="36">
        <v>29306</v>
      </c>
      <c r="O12" s="36">
        <v>15466</v>
      </c>
      <c r="P12" s="17">
        <v>495600</v>
      </c>
      <c r="Q12" s="17">
        <f>LEB_BY_DISTRICT!F12+SYR_BY_DISTRICT!F12+PAL_BY_DISTRICT!L12</f>
        <v>34990</v>
      </c>
      <c r="R12" s="17">
        <f>LEB_BY_DISTRICT!G12+SYR_BY_DISTRICT!G12+PAL_BY_DISTRICT!M12</f>
        <v>38221</v>
      </c>
      <c r="S12" s="17">
        <f>LEB_BY_DISTRICT!H12+SYR_BY_DISTRICT!H12+PAL_BY_DISTRICT!N12</f>
        <v>33325</v>
      </c>
      <c r="T12" s="17">
        <f>LEB_BY_DISTRICT!I12+SYR_BY_DISTRICT!I12+PAL_BY_DISTRICT!O12</f>
        <v>34724</v>
      </c>
      <c r="U12" s="17">
        <f>LEB_BY_DISTRICT!J12+SYR_BY_DISTRICT!J12+PAL_BY_DISTRICT!P12</f>
        <v>39904</v>
      </c>
      <c r="V12" s="17">
        <f>LEB_BY_DISTRICT!K12+SYR_BY_DISTRICT!K12+PAL_BY_DISTRICT!Q12</f>
        <v>36981</v>
      </c>
      <c r="W12" s="17">
        <f>LEB_BY_DISTRICT!L12+SYR_BY_DISTRICT!L12+PAL_BY_DISTRICT!R12</f>
        <v>32294</v>
      </c>
      <c r="X12" s="17">
        <f>LEB_BY_DISTRICT!M12+SYR_BY_DISTRICT!M12+PAL_BY_DISTRICT!S12</f>
        <v>30476</v>
      </c>
      <c r="Y12" s="17">
        <f>LEB_BY_DISTRICT!N12+SYR_BY_DISTRICT!N12+PAL_BY_DISTRICT!T12</f>
        <v>26223</v>
      </c>
      <c r="Z12" s="17">
        <f>LEB_BY_DISTRICT!O12+SYR_BY_DISTRICT!O12+PAL_BY_DISTRICT!U12</f>
        <v>24543</v>
      </c>
      <c r="AA12" s="17">
        <f>LEB_BY_DISTRICT!P12+SYR_BY_DISTRICT!P12+PAL_BY_DISTRICT!V12</f>
        <v>26591</v>
      </c>
      <c r="AB12" s="17">
        <f>LEB_BY_DISTRICT!Q12+SYR_BY_DISTRICT!Q12+PAL_BY_DISTRICT!W12</f>
        <v>23307</v>
      </c>
      <c r="AC12" s="17">
        <f>LEB_BY_DISTRICT!R12+SYR_BY_DISTRICT!R12+PAL_BY_DISTRICT!X12</f>
        <v>19540</v>
      </c>
      <c r="AD12" s="17">
        <f>LEB_BY_DISTRICT!S12+SYR_BY_DISTRICT!S12+PAL_BY_DISTRICT!Y12</f>
        <v>16054</v>
      </c>
      <c r="AE12" s="17">
        <f>LEB_BY_DISTRICT!T12+SYR_BY_DISTRICT!T12+PAL_BY_DISTRICT!Z12</f>
        <v>12387</v>
      </c>
      <c r="AF12" s="17">
        <f>LEB_BY_DISTRICT!U12+SYR_BY_DISTRICT!U12+PAL_BY_DISTRICT!AA12</f>
        <v>9234</v>
      </c>
      <c r="AG12" s="17">
        <f>LEB_BY_DISTRICT!V12+SYR_BY_DISTRICT!V12+PAL_BY_DISTRICT!AB12</f>
        <v>6917</v>
      </c>
      <c r="AH12" s="17">
        <f>LEB_BY_DISTRICT!W12+SYR_BY_DISTRICT!W12+PAL_BY_DISTRICT!AC12</f>
        <v>5117</v>
      </c>
    </row>
    <row r="13" spans="1:34" s="4" customFormat="1" ht="13.8">
      <c r="A13" s="4" t="s">
        <v>48</v>
      </c>
      <c r="B13" s="17">
        <v>115293</v>
      </c>
      <c r="C13" s="36">
        <v>60010</v>
      </c>
      <c r="D13" s="36">
        <v>55283</v>
      </c>
      <c r="E13" s="17">
        <v>0</v>
      </c>
      <c r="F13" s="17">
        <v>0</v>
      </c>
      <c r="G13" s="17">
        <v>0</v>
      </c>
      <c r="H13" s="36"/>
      <c r="I13" s="36"/>
      <c r="J13" s="17">
        <v>10733</v>
      </c>
      <c r="K13" s="36">
        <v>5173</v>
      </c>
      <c r="L13" s="36">
        <v>5560</v>
      </c>
      <c r="M13" s="17">
        <v>5657</v>
      </c>
      <c r="N13" s="36">
        <v>3327</v>
      </c>
      <c r="O13" s="36">
        <v>2330</v>
      </c>
      <c r="P13" s="17">
        <v>131683</v>
      </c>
      <c r="Q13" s="17">
        <f>LEB_BY_DISTRICT!F13+SYR_BY_DISTRICT!F13+PAL_BY_DISTRICT!L13</f>
        <v>9526</v>
      </c>
      <c r="R13" s="17">
        <f>LEB_BY_DISTRICT!G13+SYR_BY_DISTRICT!G13+PAL_BY_DISTRICT!M13</f>
        <v>10459</v>
      </c>
      <c r="S13" s="17">
        <f>LEB_BY_DISTRICT!H13+SYR_BY_DISTRICT!H13+PAL_BY_DISTRICT!N13</f>
        <v>9385</v>
      </c>
      <c r="T13" s="17">
        <f>LEB_BY_DISTRICT!I13+SYR_BY_DISTRICT!I13+PAL_BY_DISTRICT!O13</f>
        <v>9862</v>
      </c>
      <c r="U13" s="17">
        <f>LEB_BY_DISTRICT!J13+SYR_BY_DISTRICT!J13+PAL_BY_DISTRICT!P13</f>
        <v>11149</v>
      </c>
      <c r="V13" s="17">
        <f>LEB_BY_DISTRICT!K13+SYR_BY_DISTRICT!K13+PAL_BY_DISTRICT!Q13</f>
        <v>10165</v>
      </c>
      <c r="W13" s="17">
        <f>LEB_BY_DISTRICT!L13+SYR_BY_DISTRICT!L13+PAL_BY_DISTRICT!R13</f>
        <v>8915</v>
      </c>
      <c r="X13" s="17">
        <f>LEB_BY_DISTRICT!M13+SYR_BY_DISTRICT!M13+PAL_BY_DISTRICT!S13</f>
        <v>8370</v>
      </c>
      <c r="Y13" s="17">
        <f>LEB_BY_DISTRICT!N13+SYR_BY_DISTRICT!N13+PAL_BY_DISTRICT!T13</f>
        <v>7317</v>
      </c>
      <c r="Z13" s="17">
        <f>LEB_BY_DISTRICT!O13+SYR_BY_DISTRICT!O13+PAL_BY_DISTRICT!U13</f>
        <v>6958</v>
      </c>
      <c r="AA13" s="17">
        <f>LEB_BY_DISTRICT!P13+SYR_BY_DISTRICT!P13+PAL_BY_DISTRICT!V13</f>
        <v>7604</v>
      </c>
      <c r="AB13" s="17">
        <f>LEB_BY_DISTRICT!Q13+SYR_BY_DISTRICT!Q13+PAL_BY_DISTRICT!W13</f>
        <v>6607</v>
      </c>
      <c r="AC13" s="17">
        <f>LEB_BY_DISTRICT!R13+SYR_BY_DISTRICT!R13+PAL_BY_DISTRICT!X13</f>
        <v>5548</v>
      </c>
      <c r="AD13" s="17">
        <f>LEB_BY_DISTRICT!S13+SYR_BY_DISTRICT!S13+PAL_BY_DISTRICT!Y13</f>
        <v>4548</v>
      </c>
      <c r="AE13" s="17">
        <f>LEB_BY_DISTRICT!T13+SYR_BY_DISTRICT!T13+PAL_BY_DISTRICT!Z13</f>
        <v>3531</v>
      </c>
      <c r="AF13" s="17">
        <f>LEB_BY_DISTRICT!U13+SYR_BY_DISTRICT!U13+PAL_BY_DISTRICT!AA13</f>
        <v>2634</v>
      </c>
      <c r="AG13" s="17">
        <f>LEB_BY_DISTRICT!V13+SYR_BY_DISTRICT!V13+PAL_BY_DISTRICT!AB13</f>
        <v>1979</v>
      </c>
      <c r="AH13" s="17">
        <f>LEB_BY_DISTRICT!W13+SYR_BY_DISTRICT!W13+PAL_BY_DISTRICT!AC13</f>
        <v>1469</v>
      </c>
    </row>
    <row r="14" spans="1:34" s="5" customFormat="1" ht="13.8">
      <c r="A14" s="14" t="s">
        <v>49</v>
      </c>
      <c r="B14" s="16">
        <v>229640</v>
      </c>
      <c r="C14" s="36">
        <v>120919</v>
      </c>
      <c r="D14" s="36">
        <v>108721</v>
      </c>
      <c r="E14" s="16">
        <v>208</v>
      </c>
      <c r="F14" s="16">
        <v>126</v>
      </c>
      <c r="G14" s="16">
        <v>82</v>
      </c>
      <c r="H14" s="36">
        <v>86</v>
      </c>
      <c r="I14" s="36">
        <v>122</v>
      </c>
      <c r="J14" s="16">
        <v>19437</v>
      </c>
      <c r="K14" s="36">
        <v>9086</v>
      </c>
      <c r="L14" s="36">
        <v>10351</v>
      </c>
      <c r="M14" s="16">
        <v>13045</v>
      </c>
      <c r="N14" s="36">
        <v>8086</v>
      </c>
      <c r="O14" s="36">
        <v>4959</v>
      </c>
      <c r="P14" s="17">
        <v>262330</v>
      </c>
      <c r="Q14" s="17">
        <f>LEB_BY_DISTRICT!F14+SYR_BY_DISTRICT!F14+PAL_BY_DISTRICT!L14</f>
        <v>18808</v>
      </c>
      <c r="R14" s="17">
        <f>LEB_BY_DISTRICT!G14+SYR_BY_DISTRICT!G14+PAL_BY_DISTRICT!M14</f>
        <v>20453</v>
      </c>
      <c r="S14" s="17">
        <f>LEB_BY_DISTRICT!H14+SYR_BY_DISTRICT!H14+PAL_BY_DISTRICT!N14</f>
        <v>18213</v>
      </c>
      <c r="T14" s="17">
        <f>LEB_BY_DISTRICT!I14+SYR_BY_DISTRICT!I14+PAL_BY_DISTRICT!O14</f>
        <v>19183</v>
      </c>
      <c r="U14" s="17">
        <f>LEB_BY_DISTRICT!J14+SYR_BY_DISTRICT!J14+PAL_BY_DISTRICT!P14</f>
        <v>22076</v>
      </c>
      <c r="V14" s="17">
        <f>LEB_BY_DISTRICT!K14+SYR_BY_DISTRICT!K14+PAL_BY_DISTRICT!Q14</f>
        <v>20268</v>
      </c>
      <c r="W14" s="17">
        <f>LEB_BY_DISTRICT!L14+SYR_BY_DISTRICT!L14+PAL_BY_DISTRICT!R14</f>
        <v>17891</v>
      </c>
      <c r="X14" s="17">
        <f>LEB_BY_DISTRICT!M14+SYR_BY_DISTRICT!M14+PAL_BY_DISTRICT!S14</f>
        <v>16616</v>
      </c>
      <c r="Y14" s="17">
        <f>LEB_BY_DISTRICT!N14+SYR_BY_DISTRICT!N14+PAL_BY_DISTRICT!T14</f>
        <v>14428</v>
      </c>
      <c r="Z14" s="17">
        <f>LEB_BY_DISTRICT!O14+SYR_BY_DISTRICT!O14+PAL_BY_DISTRICT!U14</f>
        <v>13778</v>
      </c>
      <c r="AA14" s="17">
        <f>LEB_BY_DISTRICT!P14+SYR_BY_DISTRICT!P14+PAL_BY_DISTRICT!V14</f>
        <v>15081</v>
      </c>
      <c r="AB14" s="17">
        <f>LEB_BY_DISTRICT!Q14+SYR_BY_DISTRICT!Q14+PAL_BY_DISTRICT!W14</f>
        <v>13188</v>
      </c>
      <c r="AC14" s="17">
        <f>LEB_BY_DISTRICT!R14+SYR_BY_DISTRICT!R14+PAL_BY_DISTRICT!X14</f>
        <v>11052</v>
      </c>
      <c r="AD14" s="17">
        <f>LEB_BY_DISTRICT!S14+SYR_BY_DISTRICT!S14+PAL_BY_DISTRICT!Y14</f>
        <v>9093</v>
      </c>
      <c r="AE14" s="17">
        <f>LEB_BY_DISTRICT!T14+SYR_BY_DISTRICT!T14+PAL_BY_DISTRICT!Z14</f>
        <v>7041</v>
      </c>
      <c r="AF14" s="17">
        <f>LEB_BY_DISTRICT!U14+SYR_BY_DISTRICT!U14+PAL_BY_DISTRICT!AA14</f>
        <v>5250</v>
      </c>
      <c r="AG14" s="17">
        <f>LEB_BY_DISTRICT!V14+SYR_BY_DISTRICT!V14+PAL_BY_DISTRICT!AB14</f>
        <v>3938</v>
      </c>
      <c r="AH14" s="17">
        <f>LEB_BY_DISTRICT!W14+SYR_BY_DISTRICT!W14+PAL_BY_DISTRICT!AC14</f>
        <v>2928</v>
      </c>
    </row>
    <row r="15" spans="1:34" s="4" customFormat="1" ht="13.8">
      <c r="A15" s="4" t="s">
        <v>50</v>
      </c>
      <c r="B15" s="17">
        <v>58248</v>
      </c>
      <c r="C15" s="36">
        <v>29592</v>
      </c>
      <c r="D15" s="36">
        <v>28656</v>
      </c>
      <c r="E15" s="17">
        <v>232</v>
      </c>
      <c r="F15" s="17">
        <v>184</v>
      </c>
      <c r="G15" s="17">
        <v>48</v>
      </c>
      <c r="H15" s="36">
        <v>141</v>
      </c>
      <c r="I15" s="36">
        <v>91</v>
      </c>
      <c r="J15" s="17">
        <v>6966</v>
      </c>
      <c r="K15" s="36">
        <v>3392</v>
      </c>
      <c r="L15" s="36">
        <v>3574</v>
      </c>
      <c r="M15" s="17">
        <v>1309</v>
      </c>
      <c r="N15" s="36">
        <v>993</v>
      </c>
      <c r="O15" s="36">
        <v>316</v>
      </c>
      <c r="P15" s="17">
        <v>66755</v>
      </c>
      <c r="Q15" s="17">
        <f>LEB_BY_DISTRICT!F15+SYR_BY_DISTRICT!F15+PAL_BY_DISTRICT!L15</f>
        <v>5551</v>
      </c>
      <c r="R15" s="17">
        <f>LEB_BY_DISTRICT!G15+SYR_BY_DISTRICT!G15+PAL_BY_DISTRICT!M15</f>
        <v>6653</v>
      </c>
      <c r="S15" s="17">
        <f>LEB_BY_DISTRICT!H15+SYR_BY_DISTRICT!H15+PAL_BY_DISTRICT!N15</f>
        <v>6479</v>
      </c>
      <c r="T15" s="17">
        <f>LEB_BY_DISTRICT!I15+SYR_BY_DISTRICT!I15+PAL_BY_DISTRICT!O15</f>
        <v>6133</v>
      </c>
      <c r="U15" s="17">
        <f>LEB_BY_DISTRICT!J15+SYR_BY_DISTRICT!J15+PAL_BY_DISTRICT!P15</f>
        <v>5963</v>
      </c>
      <c r="V15" s="17">
        <f>LEB_BY_DISTRICT!K15+SYR_BY_DISTRICT!K15+PAL_BY_DISTRICT!Q15</f>
        <v>4613</v>
      </c>
      <c r="W15" s="17">
        <f>LEB_BY_DISTRICT!L15+SYR_BY_DISTRICT!L15+PAL_BY_DISTRICT!R15</f>
        <v>3676</v>
      </c>
      <c r="X15" s="17">
        <f>LEB_BY_DISTRICT!M15+SYR_BY_DISTRICT!M15+PAL_BY_DISTRICT!S15</f>
        <v>3596</v>
      </c>
      <c r="Y15" s="17">
        <f>LEB_BY_DISTRICT!N15+SYR_BY_DISTRICT!N15+PAL_BY_DISTRICT!T15</f>
        <v>3436</v>
      </c>
      <c r="Z15" s="17">
        <f>LEB_BY_DISTRICT!O15+SYR_BY_DISTRICT!O15+PAL_BY_DISTRICT!U15</f>
        <v>3770</v>
      </c>
      <c r="AA15" s="17">
        <f>LEB_BY_DISTRICT!P15+SYR_BY_DISTRICT!P15+PAL_BY_DISTRICT!V15</f>
        <v>3921</v>
      </c>
      <c r="AB15" s="17">
        <f>LEB_BY_DISTRICT!Q15+SYR_BY_DISTRICT!Q15+PAL_BY_DISTRICT!W15</f>
        <v>2980</v>
      </c>
      <c r="AC15" s="17">
        <f>LEB_BY_DISTRICT!R15+SYR_BY_DISTRICT!R15+PAL_BY_DISTRICT!X15</f>
        <v>2381</v>
      </c>
      <c r="AD15" s="17">
        <f>LEB_BY_DISTRICT!S15+SYR_BY_DISTRICT!S15+PAL_BY_DISTRICT!Y15</f>
        <v>1613</v>
      </c>
      <c r="AE15" s="17">
        <f>LEB_BY_DISTRICT!T15+SYR_BY_DISTRICT!T15+PAL_BY_DISTRICT!Z15</f>
        <v>1652</v>
      </c>
      <c r="AF15" s="17">
        <f>LEB_BY_DISTRICT!U15+SYR_BY_DISTRICT!U15+PAL_BY_DISTRICT!AA15</f>
        <v>1257</v>
      </c>
      <c r="AG15" s="17">
        <f>LEB_BY_DISTRICT!V15+SYR_BY_DISTRICT!V15+PAL_BY_DISTRICT!AB15</f>
        <v>1015</v>
      </c>
      <c r="AH15" s="17">
        <f>LEB_BY_DISTRICT!W15+SYR_BY_DISTRICT!W15+PAL_BY_DISTRICT!AC15</f>
        <v>757</v>
      </c>
    </row>
    <row r="16" spans="1:34" s="5" customFormat="1" ht="13.8">
      <c r="A16" s="14" t="s">
        <v>36</v>
      </c>
      <c r="B16" s="16">
        <v>206128</v>
      </c>
      <c r="C16" s="36">
        <v>104966</v>
      </c>
      <c r="D16" s="36">
        <v>101162</v>
      </c>
      <c r="E16" s="16">
        <v>2681</v>
      </c>
      <c r="F16" s="16">
        <v>2349</v>
      </c>
      <c r="G16" s="16">
        <v>332</v>
      </c>
      <c r="H16" s="36">
        <v>1324</v>
      </c>
      <c r="I16" s="36">
        <v>1357</v>
      </c>
      <c r="J16" s="16">
        <v>21676</v>
      </c>
      <c r="K16" s="36">
        <v>10711</v>
      </c>
      <c r="L16" s="36">
        <v>10965</v>
      </c>
      <c r="M16" s="16">
        <v>2441</v>
      </c>
      <c r="N16" s="36">
        <v>1868</v>
      </c>
      <c r="O16" s="36">
        <v>573</v>
      </c>
      <c r="P16" s="17">
        <v>232926</v>
      </c>
      <c r="Q16" s="17">
        <f>LEB_BY_DISTRICT!F16+SYR_BY_DISTRICT!F16+PAL_BY_DISTRICT!L16</f>
        <v>19331</v>
      </c>
      <c r="R16" s="17">
        <f>LEB_BY_DISTRICT!G16+SYR_BY_DISTRICT!G16+PAL_BY_DISTRICT!M16</f>
        <v>23056</v>
      </c>
      <c r="S16" s="17">
        <f>LEB_BY_DISTRICT!H16+SYR_BY_DISTRICT!H16+PAL_BY_DISTRICT!N16</f>
        <v>22571</v>
      </c>
      <c r="T16" s="17">
        <f>LEB_BY_DISTRICT!I16+SYR_BY_DISTRICT!I16+PAL_BY_DISTRICT!O16</f>
        <v>21555</v>
      </c>
      <c r="U16" s="17">
        <f>LEB_BY_DISTRICT!J16+SYR_BY_DISTRICT!J16+PAL_BY_DISTRICT!P16</f>
        <v>21056</v>
      </c>
      <c r="V16" s="17">
        <f>LEB_BY_DISTRICT!K16+SYR_BY_DISTRICT!K16+PAL_BY_DISTRICT!Q16</f>
        <v>16297</v>
      </c>
      <c r="W16" s="17">
        <f>LEB_BY_DISTRICT!L16+SYR_BY_DISTRICT!L16+PAL_BY_DISTRICT!R16</f>
        <v>13042</v>
      </c>
      <c r="X16" s="17">
        <f>LEB_BY_DISTRICT!M16+SYR_BY_DISTRICT!M16+PAL_BY_DISTRICT!S16</f>
        <v>12614</v>
      </c>
      <c r="Y16" s="17">
        <f>LEB_BY_DISTRICT!N16+SYR_BY_DISTRICT!N16+PAL_BY_DISTRICT!T16</f>
        <v>11966</v>
      </c>
      <c r="Z16" s="17">
        <f>LEB_BY_DISTRICT!O16+SYR_BY_DISTRICT!O16+PAL_BY_DISTRICT!U16</f>
        <v>13294</v>
      </c>
      <c r="AA16" s="17">
        <f>LEB_BY_DISTRICT!P16+SYR_BY_DISTRICT!P16+PAL_BY_DISTRICT!V16</f>
        <v>13991</v>
      </c>
      <c r="AB16" s="17">
        <f>LEB_BY_DISTRICT!Q16+SYR_BY_DISTRICT!Q16+PAL_BY_DISTRICT!W16</f>
        <v>10640</v>
      </c>
      <c r="AC16" s="17">
        <f>LEB_BY_DISTRICT!R16+SYR_BY_DISTRICT!R16+PAL_BY_DISTRICT!X16</f>
        <v>8567</v>
      </c>
      <c r="AD16" s="17">
        <f>LEB_BY_DISTRICT!S16+SYR_BY_DISTRICT!S16+PAL_BY_DISTRICT!Y16</f>
        <v>5817</v>
      </c>
      <c r="AE16" s="17">
        <f>LEB_BY_DISTRICT!T16+SYR_BY_DISTRICT!T16+PAL_BY_DISTRICT!Z16</f>
        <v>5929</v>
      </c>
      <c r="AF16" s="17">
        <f>LEB_BY_DISTRICT!U16+SYR_BY_DISTRICT!U16+PAL_BY_DISTRICT!AA16</f>
        <v>4456</v>
      </c>
      <c r="AG16" s="17">
        <f>LEB_BY_DISTRICT!V16+SYR_BY_DISTRICT!V16+PAL_BY_DISTRICT!AB16</f>
        <v>3621</v>
      </c>
      <c r="AH16" s="17">
        <f>LEB_BY_DISTRICT!W16+SYR_BY_DISTRICT!W16+PAL_BY_DISTRICT!AC16</f>
        <v>2682</v>
      </c>
    </row>
    <row r="17" spans="1:34" s="4" customFormat="1" ht="13.8">
      <c r="A17" s="4" t="s">
        <v>51</v>
      </c>
      <c r="B17" s="17">
        <v>25023</v>
      </c>
      <c r="C17" s="36">
        <v>12721</v>
      </c>
      <c r="D17" s="36">
        <v>12302</v>
      </c>
      <c r="E17" s="17">
        <v>0</v>
      </c>
      <c r="F17" s="17">
        <v>0</v>
      </c>
      <c r="G17" s="17">
        <v>0</v>
      </c>
      <c r="H17" s="36"/>
      <c r="I17" s="36"/>
      <c r="J17" s="17">
        <v>3479</v>
      </c>
      <c r="K17" s="36">
        <v>1751</v>
      </c>
      <c r="L17" s="36">
        <v>1728</v>
      </c>
      <c r="M17" s="17">
        <v>229</v>
      </c>
      <c r="N17" s="36">
        <v>214</v>
      </c>
      <c r="O17" s="36">
        <v>15</v>
      </c>
      <c r="P17" s="17">
        <v>28731</v>
      </c>
      <c r="Q17" s="17">
        <f>LEB_BY_DISTRICT!F17+SYR_BY_DISTRICT!F17+PAL_BY_DISTRICT!L17</f>
        <v>2389</v>
      </c>
      <c r="R17" s="17">
        <f>LEB_BY_DISTRICT!G17+SYR_BY_DISTRICT!G17+PAL_BY_DISTRICT!M17</f>
        <v>2868</v>
      </c>
      <c r="S17" s="17">
        <f>LEB_BY_DISTRICT!H17+SYR_BY_DISTRICT!H17+PAL_BY_DISTRICT!N17</f>
        <v>2862</v>
      </c>
      <c r="T17" s="17">
        <f>LEB_BY_DISTRICT!I17+SYR_BY_DISTRICT!I17+PAL_BY_DISTRICT!O17</f>
        <v>2700</v>
      </c>
      <c r="U17" s="17">
        <f>LEB_BY_DISTRICT!J17+SYR_BY_DISTRICT!J17+PAL_BY_DISTRICT!P17</f>
        <v>2560</v>
      </c>
      <c r="V17" s="17">
        <f>LEB_BY_DISTRICT!K17+SYR_BY_DISTRICT!K17+PAL_BY_DISTRICT!Q17</f>
        <v>2020</v>
      </c>
      <c r="W17" s="17">
        <f>LEB_BY_DISTRICT!L17+SYR_BY_DISTRICT!L17+PAL_BY_DISTRICT!R17</f>
        <v>1638</v>
      </c>
      <c r="X17" s="17">
        <f>LEB_BY_DISTRICT!M17+SYR_BY_DISTRICT!M17+PAL_BY_DISTRICT!S17</f>
        <v>1564</v>
      </c>
      <c r="Y17" s="17">
        <f>LEB_BY_DISTRICT!N17+SYR_BY_DISTRICT!N17+PAL_BY_DISTRICT!T17</f>
        <v>1512</v>
      </c>
      <c r="Z17" s="17">
        <f>LEB_BY_DISTRICT!O17+SYR_BY_DISTRICT!O17+PAL_BY_DISTRICT!U17</f>
        <v>1646</v>
      </c>
      <c r="AA17" s="17">
        <f>LEB_BY_DISTRICT!P17+SYR_BY_DISTRICT!P17+PAL_BY_DISTRICT!V17</f>
        <v>1716</v>
      </c>
      <c r="AB17" s="17">
        <f>LEB_BY_DISTRICT!Q17+SYR_BY_DISTRICT!Q17+PAL_BY_DISTRICT!W17</f>
        <v>1294</v>
      </c>
      <c r="AC17" s="17">
        <f>LEB_BY_DISTRICT!R17+SYR_BY_DISTRICT!R17+PAL_BY_DISTRICT!X17</f>
        <v>1029</v>
      </c>
      <c r="AD17" s="17">
        <f>LEB_BY_DISTRICT!S17+SYR_BY_DISTRICT!S17+PAL_BY_DISTRICT!Y17</f>
        <v>696</v>
      </c>
      <c r="AE17" s="17">
        <f>LEB_BY_DISTRICT!T17+SYR_BY_DISTRICT!T17+PAL_BY_DISTRICT!Z17</f>
        <v>713</v>
      </c>
      <c r="AF17" s="17">
        <f>LEB_BY_DISTRICT!U17+SYR_BY_DISTRICT!U17+PAL_BY_DISTRICT!AA17</f>
        <v>538</v>
      </c>
      <c r="AG17" s="17">
        <f>LEB_BY_DISTRICT!V17+SYR_BY_DISTRICT!V17+PAL_BY_DISTRICT!AB17</f>
        <v>434</v>
      </c>
      <c r="AH17" s="17">
        <f>LEB_BY_DISTRICT!W17+SYR_BY_DISTRICT!W17+PAL_BY_DISTRICT!AC17</f>
        <v>323</v>
      </c>
    </row>
    <row r="18" spans="1:34" s="5" customFormat="1" ht="13.8">
      <c r="A18" s="14" t="s">
        <v>52</v>
      </c>
      <c r="B18" s="16">
        <v>25351</v>
      </c>
      <c r="C18" s="36">
        <v>13099</v>
      </c>
      <c r="D18" s="36">
        <v>12252</v>
      </c>
      <c r="E18" s="16">
        <v>148</v>
      </c>
      <c r="F18" s="16">
        <v>124</v>
      </c>
      <c r="G18" s="16">
        <v>24</v>
      </c>
      <c r="H18" s="36">
        <v>58</v>
      </c>
      <c r="I18" s="36">
        <v>90</v>
      </c>
      <c r="J18" s="16">
        <v>5791</v>
      </c>
      <c r="K18" s="36">
        <v>2906</v>
      </c>
      <c r="L18" s="36">
        <v>2885</v>
      </c>
      <c r="M18" s="16">
        <v>1720</v>
      </c>
      <c r="N18" s="36">
        <v>428</v>
      </c>
      <c r="O18" s="36">
        <v>1292</v>
      </c>
      <c r="P18" s="17">
        <v>33010</v>
      </c>
      <c r="Q18" s="17">
        <f>LEB_BY_DISTRICT!F18+SYR_BY_DISTRICT!F18+PAL_BY_DISTRICT!L18</f>
        <v>2688</v>
      </c>
      <c r="R18" s="17">
        <f>LEB_BY_DISTRICT!G18+SYR_BY_DISTRICT!G18+PAL_BY_DISTRICT!M18</f>
        <v>3408</v>
      </c>
      <c r="S18" s="17">
        <f>LEB_BY_DISTRICT!H18+SYR_BY_DISTRICT!H18+PAL_BY_DISTRICT!N18</f>
        <v>3310</v>
      </c>
      <c r="T18" s="17">
        <f>LEB_BY_DISTRICT!I18+SYR_BY_DISTRICT!I18+PAL_BY_DISTRICT!O18</f>
        <v>3012</v>
      </c>
      <c r="U18" s="17">
        <f>LEB_BY_DISTRICT!J18+SYR_BY_DISTRICT!J18+PAL_BY_DISTRICT!P18</f>
        <v>2866</v>
      </c>
      <c r="V18" s="17">
        <f>LEB_BY_DISTRICT!K18+SYR_BY_DISTRICT!K18+PAL_BY_DISTRICT!Q18</f>
        <v>2210</v>
      </c>
      <c r="W18" s="17">
        <f>LEB_BY_DISTRICT!L18+SYR_BY_DISTRICT!L18+PAL_BY_DISTRICT!R18</f>
        <v>1749</v>
      </c>
      <c r="X18" s="17">
        <f>LEB_BY_DISTRICT!M18+SYR_BY_DISTRICT!M18+PAL_BY_DISTRICT!S18</f>
        <v>1725</v>
      </c>
      <c r="Y18" s="17">
        <f>LEB_BY_DISTRICT!N18+SYR_BY_DISTRICT!N18+PAL_BY_DISTRICT!T18</f>
        <v>1621</v>
      </c>
      <c r="Z18" s="17">
        <f>LEB_BY_DISTRICT!O18+SYR_BY_DISTRICT!O18+PAL_BY_DISTRICT!U18</f>
        <v>1744</v>
      </c>
      <c r="AA18" s="17">
        <f>LEB_BY_DISTRICT!P18+SYR_BY_DISTRICT!P18+PAL_BY_DISTRICT!V18</f>
        <v>1771</v>
      </c>
      <c r="AB18" s="17">
        <f>LEB_BY_DISTRICT!Q18+SYR_BY_DISTRICT!Q18+PAL_BY_DISTRICT!W18</f>
        <v>1353</v>
      </c>
      <c r="AC18" s="17">
        <f>LEB_BY_DISTRICT!R18+SYR_BY_DISTRICT!R18+PAL_BY_DISTRICT!X18</f>
        <v>1082</v>
      </c>
      <c r="AD18" s="17">
        <f>LEB_BY_DISTRICT!S18+SYR_BY_DISTRICT!S18+PAL_BY_DISTRICT!Y18</f>
        <v>713</v>
      </c>
      <c r="AE18" s="17">
        <f>LEB_BY_DISTRICT!T18+SYR_BY_DISTRICT!T18+PAL_BY_DISTRICT!Z18</f>
        <v>720</v>
      </c>
      <c r="AF18" s="17">
        <f>LEB_BY_DISTRICT!U18+SYR_BY_DISTRICT!U18+PAL_BY_DISTRICT!AA18</f>
        <v>546</v>
      </c>
      <c r="AG18" s="17">
        <f>LEB_BY_DISTRICT!V18+SYR_BY_DISTRICT!V18+PAL_BY_DISTRICT!AB18</f>
        <v>443</v>
      </c>
      <c r="AH18" s="17">
        <f>LEB_BY_DISTRICT!W18+SYR_BY_DISTRICT!W18+PAL_BY_DISTRICT!AC18</f>
        <v>329</v>
      </c>
    </row>
    <row r="19" spans="1:34" s="4" customFormat="1" ht="13.8">
      <c r="A19" s="4" t="s">
        <v>53</v>
      </c>
      <c r="B19" s="17">
        <v>20746</v>
      </c>
      <c r="C19" s="36">
        <v>10461</v>
      </c>
      <c r="D19" s="36">
        <v>10285</v>
      </c>
      <c r="E19" s="17">
        <v>0</v>
      </c>
      <c r="F19" s="17">
        <v>0</v>
      </c>
      <c r="G19" s="17">
        <v>0</v>
      </c>
      <c r="H19" s="36"/>
      <c r="I19" s="36"/>
      <c r="J19" s="17">
        <v>1191</v>
      </c>
      <c r="K19" s="36">
        <v>557</v>
      </c>
      <c r="L19" s="36">
        <v>634</v>
      </c>
      <c r="M19" s="17">
        <v>415</v>
      </c>
      <c r="N19" s="36">
        <v>403</v>
      </c>
      <c r="O19" s="36">
        <v>12</v>
      </c>
      <c r="P19" s="17">
        <v>22352</v>
      </c>
      <c r="Q19" s="17">
        <f>LEB_BY_DISTRICT!F19+SYR_BY_DISTRICT!F19+PAL_BY_DISTRICT!L19</f>
        <v>1806</v>
      </c>
      <c r="R19" s="17">
        <f>LEB_BY_DISTRICT!G19+SYR_BY_DISTRICT!G19+PAL_BY_DISTRICT!M19</f>
        <v>2047</v>
      </c>
      <c r="S19" s="17">
        <f>LEB_BY_DISTRICT!H19+SYR_BY_DISTRICT!H19+PAL_BY_DISTRICT!N19</f>
        <v>1976</v>
      </c>
      <c r="T19" s="17">
        <f>LEB_BY_DISTRICT!I19+SYR_BY_DISTRICT!I19+PAL_BY_DISTRICT!O19</f>
        <v>2004</v>
      </c>
      <c r="U19" s="17">
        <f>LEB_BY_DISTRICT!J19+SYR_BY_DISTRICT!J19+PAL_BY_DISTRICT!P19</f>
        <v>2055</v>
      </c>
      <c r="V19" s="17">
        <f>LEB_BY_DISTRICT!K19+SYR_BY_DISTRICT!K19+PAL_BY_DISTRICT!Q19</f>
        <v>1630</v>
      </c>
      <c r="W19" s="17">
        <f>LEB_BY_DISTRICT!L19+SYR_BY_DISTRICT!L19+PAL_BY_DISTRICT!R19</f>
        <v>1385</v>
      </c>
      <c r="X19" s="17">
        <f>LEB_BY_DISTRICT!M19+SYR_BY_DISTRICT!M19+PAL_BY_DISTRICT!S19</f>
        <v>1292</v>
      </c>
      <c r="Y19" s="17">
        <f>LEB_BY_DISTRICT!N19+SYR_BY_DISTRICT!N19+PAL_BY_DISTRICT!T19</f>
        <v>1232</v>
      </c>
      <c r="Z19" s="17">
        <f>LEB_BY_DISTRICT!O19+SYR_BY_DISTRICT!O19+PAL_BY_DISTRICT!U19</f>
        <v>1240</v>
      </c>
      <c r="AA19" s="17">
        <f>LEB_BY_DISTRICT!P19+SYR_BY_DISTRICT!P19+PAL_BY_DISTRICT!V19</f>
        <v>1260</v>
      </c>
      <c r="AB19" s="17">
        <f>LEB_BY_DISTRICT!Q19+SYR_BY_DISTRICT!Q19+PAL_BY_DISTRICT!W19</f>
        <v>1094</v>
      </c>
      <c r="AC19" s="17">
        <f>LEB_BY_DISTRICT!R19+SYR_BY_DISTRICT!R19+PAL_BY_DISTRICT!X19</f>
        <v>947</v>
      </c>
      <c r="AD19" s="17">
        <f>LEB_BY_DISTRICT!S19+SYR_BY_DISTRICT!S19+PAL_BY_DISTRICT!Y19</f>
        <v>621</v>
      </c>
      <c r="AE19" s="17">
        <f>LEB_BY_DISTRICT!T19+SYR_BY_DISTRICT!T19+PAL_BY_DISTRICT!Z19</f>
        <v>502</v>
      </c>
      <c r="AF19" s="17">
        <f>LEB_BY_DISTRICT!U19+SYR_BY_DISTRICT!U19+PAL_BY_DISTRICT!AA19</f>
        <v>345</v>
      </c>
      <c r="AG19" s="17">
        <f>LEB_BY_DISTRICT!V19+SYR_BY_DISTRICT!V19+PAL_BY_DISTRICT!AB19</f>
        <v>314</v>
      </c>
      <c r="AH19" s="17">
        <f>LEB_BY_DISTRICT!W19+SYR_BY_DISTRICT!W19+PAL_BY_DISTRICT!AC19</f>
        <v>187</v>
      </c>
    </row>
    <row r="20" spans="1:34" s="5" customFormat="1" ht="13.8">
      <c r="A20" s="14" t="s">
        <v>54</v>
      </c>
      <c r="B20" s="16">
        <v>53121</v>
      </c>
      <c r="C20" s="36">
        <v>28243</v>
      </c>
      <c r="D20" s="36">
        <v>24878</v>
      </c>
      <c r="E20" s="16">
        <v>0</v>
      </c>
      <c r="F20" s="16">
        <v>0</v>
      </c>
      <c r="G20" s="16">
        <v>0</v>
      </c>
      <c r="H20" s="36"/>
      <c r="I20" s="36"/>
      <c r="J20" s="16">
        <v>12163</v>
      </c>
      <c r="K20" s="36">
        <v>5929</v>
      </c>
      <c r="L20" s="36">
        <v>6234</v>
      </c>
      <c r="M20" s="16">
        <v>1173</v>
      </c>
      <c r="N20" s="36">
        <v>967</v>
      </c>
      <c r="O20" s="36">
        <v>206</v>
      </c>
      <c r="P20" s="17">
        <v>66457</v>
      </c>
      <c r="Q20" s="17">
        <f>LEB_BY_DISTRICT!F20+SYR_BY_DISTRICT!F20+PAL_BY_DISTRICT!L20</f>
        <v>5659</v>
      </c>
      <c r="R20" s="17">
        <f>LEB_BY_DISTRICT!G20+SYR_BY_DISTRICT!G20+PAL_BY_DISTRICT!M20</f>
        <v>6885</v>
      </c>
      <c r="S20" s="17">
        <f>LEB_BY_DISTRICT!H20+SYR_BY_DISTRICT!H20+PAL_BY_DISTRICT!N20</f>
        <v>6305</v>
      </c>
      <c r="T20" s="17">
        <f>LEB_BY_DISTRICT!I20+SYR_BY_DISTRICT!I20+PAL_BY_DISTRICT!O20</f>
        <v>6085</v>
      </c>
      <c r="U20" s="17">
        <f>LEB_BY_DISTRICT!J20+SYR_BY_DISTRICT!J20+PAL_BY_DISTRICT!P20</f>
        <v>6005</v>
      </c>
      <c r="V20" s="17">
        <f>LEB_BY_DISTRICT!K20+SYR_BY_DISTRICT!K20+PAL_BY_DISTRICT!Q20</f>
        <v>4863</v>
      </c>
      <c r="W20" s="17">
        <f>LEB_BY_DISTRICT!L20+SYR_BY_DISTRICT!L20+PAL_BY_DISTRICT!R20</f>
        <v>4183</v>
      </c>
      <c r="X20" s="17">
        <f>LEB_BY_DISTRICT!M20+SYR_BY_DISTRICT!M20+PAL_BY_DISTRICT!S20</f>
        <v>4031</v>
      </c>
      <c r="Y20" s="17">
        <f>LEB_BY_DISTRICT!N20+SYR_BY_DISTRICT!N20+PAL_BY_DISTRICT!T20</f>
        <v>3710</v>
      </c>
      <c r="Z20" s="17">
        <f>LEB_BY_DISTRICT!O20+SYR_BY_DISTRICT!O20+PAL_BY_DISTRICT!U20</f>
        <v>3570</v>
      </c>
      <c r="AA20" s="17">
        <f>LEB_BY_DISTRICT!P20+SYR_BY_DISTRICT!P20+PAL_BY_DISTRICT!V20</f>
        <v>3454</v>
      </c>
      <c r="AB20" s="17">
        <f>LEB_BY_DISTRICT!Q20+SYR_BY_DISTRICT!Q20+PAL_BY_DISTRICT!W20</f>
        <v>2933</v>
      </c>
      <c r="AC20" s="17">
        <f>LEB_BY_DISTRICT!R20+SYR_BY_DISTRICT!R20+PAL_BY_DISTRICT!X20</f>
        <v>2472</v>
      </c>
      <c r="AD20" s="17">
        <f>LEB_BY_DISTRICT!S20+SYR_BY_DISTRICT!S20+PAL_BY_DISTRICT!Y20</f>
        <v>1631</v>
      </c>
      <c r="AE20" s="17">
        <f>LEB_BY_DISTRICT!T20+SYR_BY_DISTRICT!T20+PAL_BY_DISTRICT!Z20</f>
        <v>1312</v>
      </c>
      <c r="AF20" s="17">
        <f>LEB_BY_DISTRICT!U20+SYR_BY_DISTRICT!U20+PAL_BY_DISTRICT!AA20</f>
        <v>896</v>
      </c>
      <c r="AG20" s="17">
        <f>LEB_BY_DISTRICT!V20+SYR_BY_DISTRICT!V20+PAL_BY_DISTRICT!AB20</f>
        <v>810</v>
      </c>
      <c r="AH20" s="17">
        <f>LEB_BY_DISTRICT!W20+SYR_BY_DISTRICT!W20+PAL_BY_DISTRICT!AC20</f>
        <v>480</v>
      </c>
    </row>
    <row r="21" spans="1:34" s="4" customFormat="1" ht="13.8">
      <c r="A21" s="4" t="s">
        <v>55</v>
      </c>
      <c r="B21" s="17">
        <v>72124</v>
      </c>
      <c r="C21" s="36">
        <v>38306</v>
      </c>
      <c r="D21" s="36">
        <v>33818</v>
      </c>
      <c r="E21" s="17">
        <v>0</v>
      </c>
      <c r="F21" s="17">
        <v>0</v>
      </c>
      <c r="G21" s="17">
        <v>0</v>
      </c>
      <c r="H21" s="36"/>
      <c r="I21" s="36"/>
      <c r="J21" s="17">
        <v>16985</v>
      </c>
      <c r="K21" s="36">
        <v>8372</v>
      </c>
      <c r="L21" s="36">
        <v>8613</v>
      </c>
      <c r="M21" s="17">
        <v>1356</v>
      </c>
      <c r="N21" s="36">
        <v>1157</v>
      </c>
      <c r="O21" s="36">
        <v>199</v>
      </c>
      <c r="P21" s="17">
        <v>90465</v>
      </c>
      <c r="Q21" s="17">
        <f>LEB_BY_DISTRICT!F21+SYR_BY_DISTRICT!F21+PAL_BY_DISTRICT!L21</f>
        <v>7764</v>
      </c>
      <c r="R21" s="17">
        <f>LEB_BY_DISTRICT!G21+SYR_BY_DISTRICT!G21+PAL_BY_DISTRICT!M21</f>
        <v>9431</v>
      </c>
      <c r="S21" s="17">
        <f>LEB_BY_DISTRICT!H21+SYR_BY_DISTRICT!H21+PAL_BY_DISTRICT!N21</f>
        <v>8505</v>
      </c>
      <c r="T21" s="17">
        <f>LEB_BY_DISTRICT!I21+SYR_BY_DISTRICT!I21+PAL_BY_DISTRICT!O21</f>
        <v>8264</v>
      </c>
      <c r="U21" s="17">
        <f>LEB_BY_DISTRICT!J21+SYR_BY_DISTRICT!J21+PAL_BY_DISTRICT!P21</f>
        <v>8193</v>
      </c>
      <c r="V21" s="17">
        <f>LEB_BY_DISTRICT!K21+SYR_BY_DISTRICT!K21+PAL_BY_DISTRICT!Q21</f>
        <v>6791</v>
      </c>
      <c r="W21" s="17">
        <f>LEB_BY_DISTRICT!L21+SYR_BY_DISTRICT!L21+PAL_BY_DISTRICT!R21</f>
        <v>5780</v>
      </c>
      <c r="X21" s="17">
        <f>LEB_BY_DISTRICT!M21+SYR_BY_DISTRICT!M21+PAL_BY_DISTRICT!S21</f>
        <v>5405</v>
      </c>
      <c r="Y21" s="17">
        <f>LEB_BY_DISTRICT!N21+SYR_BY_DISTRICT!N21+PAL_BY_DISTRICT!T21</f>
        <v>4943</v>
      </c>
      <c r="Z21" s="17">
        <f>LEB_BY_DISTRICT!O21+SYR_BY_DISTRICT!O21+PAL_BY_DISTRICT!U21</f>
        <v>4811</v>
      </c>
      <c r="AA21" s="17">
        <f>LEB_BY_DISTRICT!P21+SYR_BY_DISTRICT!P21+PAL_BY_DISTRICT!V21</f>
        <v>4713</v>
      </c>
      <c r="AB21" s="17">
        <f>LEB_BY_DISTRICT!Q21+SYR_BY_DISTRICT!Q21+PAL_BY_DISTRICT!W21</f>
        <v>4047</v>
      </c>
      <c r="AC21" s="17">
        <f>LEB_BY_DISTRICT!R21+SYR_BY_DISTRICT!R21+PAL_BY_DISTRICT!X21</f>
        <v>3442</v>
      </c>
      <c r="AD21" s="17">
        <f>LEB_BY_DISTRICT!S21+SYR_BY_DISTRICT!S21+PAL_BY_DISTRICT!Y21</f>
        <v>2241</v>
      </c>
      <c r="AE21" s="17">
        <f>LEB_BY_DISTRICT!T21+SYR_BY_DISTRICT!T21+PAL_BY_DISTRICT!Z21</f>
        <v>1793</v>
      </c>
      <c r="AF21" s="17">
        <f>LEB_BY_DISTRICT!U21+SYR_BY_DISTRICT!U21+PAL_BY_DISTRICT!AA21</f>
        <v>1221</v>
      </c>
      <c r="AG21" s="17">
        <f>LEB_BY_DISTRICT!V21+SYR_BY_DISTRICT!V21+PAL_BY_DISTRICT!AB21</f>
        <v>1106</v>
      </c>
      <c r="AH21" s="17">
        <f>LEB_BY_DISTRICT!W21+SYR_BY_DISTRICT!W21+PAL_BY_DISTRICT!AC21</f>
        <v>659</v>
      </c>
    </row>
    <row r="22" spans="1:34" s="5" customFormat="1" ht="13.8">
      <c r="A22" s="14" t="s">
        <v>56</v>
      </c>
      <c r="B22" s="16">
        <v>121534</v>
      </c>
      <c r="C22" s="36">
        <v>60933</v>
      </c>
      <c r="D22" s="36">
        <v>60601</v>
      </c>
      <c r="E22" s="16">
        <v>17020</v>
      </c>
      <c r="F22" s="16">
        <v>15187</v>
      </c>
      <c r="G22" s="16">
        <v>1833</v>
      </c>
      <c r="H22" s="36">
        <v>8773</v>
      </c>
      <c r="I22" s="36">
        <v>8247</v>
      </c>
      <c r="J22" s="16">
        <v>44509</v>
      </c>
      <c r="K22" s="36">
        <v>22243</v>
      </c>
      <c r="L22" s="36">
        <v>22266</v>
      </c>
      <c r="M22" s="16">
        <v>489</v>
      </c>
      <c r="N22" s="36">
        <v>432</v>
      </c>
      <c r="O22" s="36">
        <v>57</v>
      </c>
      <c r="P22" s="17">
        <v>183552</v>
      </c>
      <c r="Q22" s="17">
        <f>LEB_BY_DISTRICT!F22+SYR_BY_DISTRICT!F22+PAL_BY_DISTRICT!L22</f>
        <v>16187</v>
      </c>
      <c r="R22" s="17">
        <f>LEB_BY_DISTRICT!G22+SYR_BY_DISTRICT!G22+PAL_BY_DISTRICT!M22</f>
        <v>20406</v>
      </c>
      <c r="S22" s="17">
        <f>LEB_BY_DISTRICT!H22+SYR_BY_DISTRICT!H22+PAL_BY_DISTRICT!N22</f>
        <v>18424</v>
      </c>
      <c r="T22" s="17">
        <f>LEB_BY_DISTRICT!I22+SYR_BY_DISTRICT!I22+PAL_BY_DISTRICT!O22</f>
        <v>17599</v>
      </c>
      <c r="U22" s="17">
        <f>LEB_BY_DISTRICT!J22+SYR_BY_DISTRICT!J22+PAL_BY_DISTRICT!P22</f>
        <v>16671</v>
      </c>
      <c r="V22" s="17">
        <f>LEB_BY_DISTRICT!K22+SYR_BY_DISTRICT!K22+PAL_BY_DISTRICT!Q22</f>
        <v>13750</v>
      </c>
      <c r="W22" s="17">
        <f>LEB_BY_DISTRICT!L22+SYR_BY_DISTRICT!L22+PAL_BY_DISTRICT!R22</f>
        <v>11722</v>
      </c>
      <c r="X22" s="17">
        <f>LEB_BY_DISTRICT!M22+SYR_BY_DISTRICT!M22+PAL_BY_DISTRICT!S22</f>
        <v>11054</v>
      </c>
      <c r="Y22" s="17">
        <f>LEB_BY_DISTRICT!N22+SYR_BY_DISTRICT!N22+PAL_BY_DISTRICT!T22</f>
        <v>10148</v>
      </c>
      <c r="Z22" s="17">
        <f>LEB_BY_DISTRICT!O22+SYR_BY_DISTRICT!O22+PAL_BY_DISTRICT!U22</f>
        <v>9602</v>
      </c>
      <c r="AA22" s="17">
        <f>LEB_BY_DISTRICT!P22+SYR_BY_DISTRICT!P22+PAL_BY_DISTRICT!V22</f>
        <v>9188</v>
      </c>
      <c r="AB22" s="17">
        <f>LEB_BY_DISTRICT!Q22+SYR_BY_DISTRICT!Q22+PAL_BY_DISTRICT!W22</f>
        <v>7978</v>
      </c>
      <c r="AC22" s="17">
        <f>LEB_BY_DISTRICT!R22+SYR_BY_DISTRICT!R22+PAL_BY_DISTRICT!X22</f>
        <v>6838</v>
      </c>
      <c r="AD22" s="17">
        <f>LEB_BY_DISTRICT!S22+SYR_BY_DISTRICT!S22+PAL_BY_DISTRICT!Y22</f>
        <v>4467</v>
      </c>
      <c r="AE22" s="17">
        <f>LEB_BY_DISTRICT!T22+SYR_BY_DISTRICT!T22+PAL_BY_DISTRICT!Z22</f>
        <v>3449</v>
      </c>
      <c r="AF22" s="17">
        <f>LEB_BY_DISTRICT!U22+SYR_BY_DISTRICT!U22+PAL_BY_DISTRICT!AA22</f>
        <v>2317</v>
      </c>
      <c r="AG22" s="17">
        <f>LEB_BY_DISTRICT!V22+SYR_BY_DISTRICT!V22+PAL_BY_DISTRICT!AB22</f>
        <v>2045</v>
      </c>
      <c r="AH22" s="17">
        <f>LEB_BY_DISTRICT!W22+SYR_BY_DISTRICT!W22+PAL_BY_DISTRICT!AC22</f>
        <v>1218</v>
      </c>
    </row>
    <row r="23" spans="1:34" s="4" customFormat="1" ht="13.8">
      <c r="A23" s="4" t="s">
        <v>57</v>
      </c>
      <c r="B23" s="17">
        <v>200469</v>
      </c>
      <c r="C23" s="36">
        <v>105083</v>
      </c>
      <c r="D23" s="36">
        <v>95386</v>
      </c>
      <c r="E23" s="17">
        <v>3861</v>
      </c>
      <c r="F23" s="17">
        <v>3316</v>
      </c>
      <c r="G23" s="17">
        <v>545</v>
      </c>
      <c r="H23" s="36">
        <v>2037</v>
      </c>
      <c r="I23" s="36">
        <v>1824</v>
      </c>
      <c r="J23" s="17">
        <v>38419</v>
      </c>
      <c r="K23" s="36">
        <v>18994</v>
      </c>
      <c r="L23" s="36">
        <v>19425</v>
      </c>
      <c r="M23" s="17">
        <v>2267</v>
      </c>
      <c r="N23" s="36">
        <v>1604</v>
      </c>
      <c r="O23" s="36">
        <v>663</v>
      </c>
      <c r="P23" s="17">
        <v>245016</v>
      </c>
      <c r="Q23" s="17">
        <f>LEB_BY_DISTRICT!F23+SYR_BY_DISTRICT!F23+PAL_BY_DISTRICT!L23</f>
        <v>20336</v>
      </c>
      <c r="R23" s="17">
        <f>LEB_BY_DISTRICT!G23+SYR_BY_DISTRICT!G23+PAL_BY_DISTRICT!M23</f>
        <v>24166</v>
      </c>
      <c r="S23" s="17">
        <f>LEB_BY_DISTRICT!H23+SYR_BY_DISTRICT!H23+PAL_BY_DISTRICT!N23</f>
        <v>22747</v>
      </c>
      <c r="T23" s="17">
        <f>LEB_BY_DISTRICT!I23+SYR_BY_DISTRICT!I23+PAL_BY_DISTRICT!O23</f>
        <v>22603</v>
      </c>
      <c r="U23" s="17">
        <f>LEB_BY_DISTRICT!J23+SYR_BY_DISTRICT!J23+PAL_BY_DISTRICT!P23</f>
        <v>22805</v>
      </c>
      <c r="V23" s="17">
        <f>LEB_BY_DISTRICT!K23+SYR_BY_DISTRICT!K23+PAL_BY_DISTRICT!Q23</f>
        <v>18407</v>
      </c>
      <c r="W23" s="17">
        <f>LEB_BY_DISTRICT!L23+SYR_BY_DISTRICT!L23+PAL_BY_DISTRICT!R23</f>
        <v>15699</v>
      </c>
      <c r="X23" s="17">
        <f>LEB_BY_DISTRICT!M23+SYR_BY_DISTRICT!M23+PAL_BY_DISTRICT!S23</f>
        <v>14343</v>
      </c>
      <c r="Y23" s="17">
        <f>LEB_BY_DISTRICT!N23+SYR_BY_DISTRICT!N23+PAL_BY_DISTRICT!T23</f>
        <v>13444</v>
      </c>
      <c r="Z23" s="17">
        <f>LEB_BY_DISTRICT!O23+SYR_BY_DISTRICT!O23+PAL_BY_DISTRICT!U23</f>
        <v>13320</v>
      </c>
      <c r="AA23" s="17">
        <f>LEB_BY_DISTRICT!P23+SYR_BY_DISTRICT!P23+PAL_BY_DISTRICT!V23</f>
        <v>13231</v>
      </c>
      <c r="AB23" s="17">
        <f>LEB_BY_DISTRICT!Q23+SYR_BY_DISTRICT!Q23+PAL_BY_DISTRICT!W23</f>
        <v>11474</v>
      </c>
      <c r="AC23" s="17">
        <f>LEB_BY_DISTRICT!R23+SYR_BY_DISTRICT!R23+PAL_BY_DISTRICT!X23</f>
        <v>9875</v>
      </c>
      <c r="AD23" s="17">
        <f>LEB_BY_DISTRICT!S23+SYR_BY_DISTRICT!S23+PAL_BY_DISTRICT!Y23</f>
        <v>6566</v>
      </c>
      <c r="AE23" s="17">
        <f>LEB_BY_DISTRICT!T23+SYR_BY_DISTRICT!T23+PAL_BY_DISTRICT!Z23</f>
        <v>5187</v>
      </c>
      <c r="AF23" s="17">
        <f>LEB_BY_DISTRICT!U23+SYR_BY_DISTRICT!U23+PAL_BY_DISTRICT!AA23</f>
        <v>3503</v>
      </c>
      <c r="AG23" s="17">
        <f>LEB_BY_DISTRICT!V23+SYR_BY_DISTRICT!V23+PAL_BY_DISTRICT!AB23</f>
        <v>3165</v>
      </c>
      <c r="AH23" s="17">
        <f>LEB_BY_DISTRICT!W23+SYR_BY_DISTRICT!W23+PAL_BY_DISTRICT!AC23</f>
        <v>1878</v>
      </c>
    </row>
    <row r="24" spans="1:34" s="5" customFormat="1" ht="13.8">
      <c r="A24" s="14" t="s">
        <v>58</v>
      </c>
      <c r="B24" s="16">
        <v>72798</v>
      </c>
      <c r="C24" s="36">
        <v>36792</v>
      </c>
      <c r="D24" s="36">
        <v>36006</v>
      </c>
      <c r="E24" s="16">
        <v>0</v>
      </c>
      <c r="F24" s="16">
        <v>0</v>
      </c>
      <c r="G24" s="16">
        <v>0</v>
      </c>
      <c r="H24" s="36"/>
      <c r="I24" s="36"/>
      <c r="J24" s="16">
        <v>13532</v>
      </c>
      <c r="K24" s="36">
        <v>6793</v>
      </c>
      <c r="L24" s="36">
        <v>6739</v>
      </c>
      <c r="M24" s="16">
        <v>1199</v>
      </c>
      <c r="N24" s="36">
        <v>1072</v>
      </c>
      <c r="O24" s="36">
        <v>127</v>
      </c>
      <c r="P24" s="17">
        <v>87529</v>
      </c>
      <c r="Q24" s="17">
        <f>LEB_BY_DISTRICT!F24+SYR_BY_DISTRICT!F24+PAL_BY_DISTRICT!L24</f>
        <v>7478</v>
      </c>
      <c r="R24" s="17">
        <f>LEB_BY_DISTRICT!G24+SYR_BY_DISTRICT!G24+PAL_BY_DISTRICT!M24</f>
        <v>8931</v>
      </c>
      <c r="S24" s="17">
        <f>LEB_BY_DISTRICT!H24+SYR_BY_DISTRICT!H24+PAL_BY_DISTRICT!N24</f>
        <v>8217</v>
      </c>
      <c r="T24" s="17">
        <f>LEB_BY_DISTRICT!I24+SYR_BY_DISTRICT!I24+PAL_BY_DISTRICT!O24</f>
        <v>8039</v>
      </c>
      <c r="U24" s="17">
        <f>LEB_BY_DISTRICT!J24+SYR_BY_DISTRICT!J24+PAL_BY_DISTRICT!P24</f>
        <v>8017</v>
      </c>
      <c r="V24" s="17">
        <f>LEB_BY_DISTRICT!K24+SYR_BY_DISTRICT!K24+PAL_BY_DISTRICT!Q24</f>
        <v>6407</v>
      </c>
      <c r="W24" s="17">
        <f>LEB_BY_DISTRICT!L24+SYR_BY_DISTRICT!L24+PAL_BY_DISTRICT!R24</f>
        <v>5470</v>
      </c>
      <c r="X24" s="17">
        <f>LEB_BY_DISTRICT!M24+SYR_BY_DISTRICT!M24+PAL_BY_DISTRICT!S24</f>
        <v>5144</v>
      </c>
      <c r="Y24" s="17">
        <f>LEB_BY_DISTRICT!N24+SYR_BY_DISTRICT!N24+PAL_BY_DISTRICT!T24</f>
        <v>4803</v>
      </c>
      <c r="Z24" s="17">
        <f>LEB_BY_DISTRICT!O24+SYR_BY_DISTRICT!O24+PAL_BY_DISTRICT!U24</f>
        <v>4718</v>
      </c>
      <c r="AA24" s="17">
        <f>LEB_BY_DISTRICT!P24+SYR_BY_DISTRICT!P24+PAL_BY_DISTRICT!V24</f>
        <v>4646</v>
      </c>
      <c r="AB24" s="17">
        <f>LEB_BY_DISTRICT!Q24+SYR_BY_DISTRICT!Q24+PAL_BY_DISTRICT!W24</f>
        <v>3996</v>
      </c>
      <c r="AC24" s="17">
        <f>LEB_BY_DISTRICT!R24+SYR_BY_DISTRICT!R24+PAL_BY_DISTRICT!X24</f>
        <v>3414</v>
      </c>
      <c r="AD24" s="17">
        <f>LEB_BY_DISTRICT!S24+SYR_BY_DISTRICT!S24+PAL_BY_DISTRICT!Y24</f>
        <v>2247</v>
      </c>
      <c r="AE24" s="17">
        <f>LEB_BY_DISTRICT!T24+SYR_BY_DISTRICT!T24+PAL_BY_DISTRICT!Z24</f>
        <v>1800</v>
      </c>
      <c r="AF24" s="17">
        <f>LEB_BY_DISTRICT!U24+SYR_BY_DISTRICT!U24+PAL_BY_DISTRICT!AA24</f>
        <v>1229</v>
      </c>
      <c r="AG24" s="17">
        <f>LEB_BY_DISTRICT!V24+SYR_BY_DISTRICT!V24+PAL_BY_DISTRICT!AB24</f>
        <v>1113</v>
      </c>
      <c r="AH24" s="17">
        <f>LEB_BY_DISTRICT!W24+SYR_BY_DISTRICT!W24+PAL_BY_DISTRICT!AC24</f>
        <v>661</v>
      </c>
    </row>
    <row r="25" spans="1:34" s="4" customFormat="1" ht="13.8">
      <c r="A25" s="4" t="s">
        <v>59</v>
      </c>
      <c r="B25" s="17">
        <v>27052</v>
      </c>
      <c r="C25" s="36">
        <v>13358</v>
      </c>
      <c r="D25" s="36">
        <v>13694</v>
      </c>
      <c r="E25" s="17">
        <v>0</v>
      </c>
      <c r="F25" s="17">
        <v>0</v>
      </c>
      <c r="G25" s="17">
        <v>0</v>
      </c>
      <c r="H25" s="36"/>
      <c r="I25" s="36"/>
      <c r="J25" s="17">
        <v>2675</v>
      </c>
      <c r="K25" s="36">
        <v>1300</v>
      </c>
      <c r="L25" s="36">
        <v>1375</v>
      </c>
      <c r="M25" s="17">
        <v>450</v>
      </c>
      <c r="N25" s="36">
        <v>295</v>
      </c>
      <c r="O25" s="36">
        <v>155</v>
      </c>
      <c r="P25" s="17">
        <v>30177</v>
      </c>
      <c r="Q25" s="17">
        <f>LEB_BY_DISTRICT!F25+SYR_BY_DISTRICT!F25+PAL_BY_DISTRICT!L25</f>
        <v>2471</v>
      </c>
      <c r="R25" s="17">
        <f>LEB_BY_DISTRICT!G25+SYR_BY_DISTRICT!G25+PAL_BY_DISTRICT!M25</f>
        <v>2934</v>
      </c>
      <c r="S25" s="17">
        <f>LEB_BY_DISTRICT!H25+SYR_BY_DISTRICT!H25+PAL_BY_DISTRICT!N25</f>
        <v>2817</v>
      </c>
      <c r="T25" s="17">
        <f>LEB_BY_DISTRICT!I25+SYR_BY_DISTRICT!I25+PAL_BY_DISTRICT!O25</f>
        <v>2852</v>
      </c>
      <c r="U25" s="17">
        <f>LEB_BY_DISTRICT!J25+SYR_BY_DISTRICT!J25+PAL_BY_DISTRICT!P25</f>
        <v>2687</v>
      </c>
      <c r="V25" s="17">
        <f>LEB_BY_DISTRICT!K25+SYR_BY_DISTRICT!K25+PAL_BY_DISTRICT!Q25</f>
        <v>2177</v>
      </c>
      <c r="W25" s="17">
        <f>LEB_BY_DISTRICT!L25+SYR_BY_DISTRICT!L25+PAL_BY_DISTRICT!R25</f>
        <v>1845</v>
      </c>
      <c r="X25" s="17">
        <f>LEB_BY_DISTRICT!M25+SYR_BY_DISTRICT!M25+PAL_BY_DISTRICT!S25</f>
        <v>1849</v>
      </c>
      <c r="Y25" s="17">
        <f>LEB_BY_DISTRICT!N25+SYR_BY_DISTRICT!N25+PAL_BY_DISTRICT!T25</f>
        <v>1707</v>
      </c>
      <c r="Z25" s="17">
        <f>LEB_BY_DISTRICT!O25+SYR_BY_DISTRICT!O25+PAL_BY_DISTRICT!U25</f>
        <v>1596</v>
      </c>
      <c r="AA25" s="17">
        <f>LEB_BY_DISTRICT!P25+SYR_BY_DISTRICT!P25+PAL_BY_DISTRICT!V25</f>
        <v>1580</v>
      </c>
      <c r="AB25" s="17">
        <f>LEB_BY_DISTRICT!Q25+SYR_BY_DISTRICT!Q25+PAL_BY_DISTRICT!W25</f>
        <v>1516</v>
      </c>
      <c r="AC25" s="17">
        <f>LEB_BY_DISTRICT!R25+SYR_BY_DISTRICT!R25+PAL_BY_DISTRICT!X25</f>
        <v>1131</v>
      </c>
      <c r="AD25" s="17">
        <f>LEB_BY_DISTRICT!S25+SYR_BY_DISTRICT!S25+PAL_BY_DISTRICT!Y25</f>
        <v>933</v>
      </c>
      <c r="AE25" s="17">
        <f>LEB_BY_DISTRICT!T25+SYR_BY_DISTRICT!T25+PAL_BY_DISTRICT!Z25</f>
        <v>687</v>
      </c>
      <c r="AF25" s="17">
        <f>LEB_BY_DISTRICT!U25+SYR_BY_DISTRICT!U25+PAL_BY_DISTRICT!AA25</f>
        <v>462</v>
      </c>
      <c r="AG25" s="17">
        <f>LEB_BY_DISTRICT!V25+SYR_BY_DISTRICT!V25+PAL_BY_DISTRICT!AB25</f>
        <v>294</v>
      </c>
      <c r="AH25" s="17">
        <f>LEB_BY_DISTRICT!W25+SYR_BY_DISTRICT!W25+PAL_BY_DISTRICT!AC25</f>
        <v>189</v>
      </c>
    </row>
    <row r="26" spans="1:34" s="5" customFormat="1" ht="13.8">
      <c r="A26" s="14" t="s">
        <v>60</v>
      </c>
      <c r="B26" s="16">
        <v>233189</v>
      </c>
      <c r="C26" s="36">
        <v>123309</v>
      </c>
      <c r="D26" s="36">
        <v>109880</v>
      </c>
      <c r="E26" s="16">
        <v>67690</v>
      </c>
      <c r="F26" s="16">
        <v>62097</v>
      </c>
      <c r="G26" s="16">
        <v>5593</v>
      </c>
      <c r="H26" s="36">
        <v>35620</v>
      </c>
      <c r="I26" s="36">
        <v>32070</v>
      </c>
      <c r="J26" s="16">
        <v>44492</v>
      </c>
      <c r="K26" s="36">
        <v>22353</v>
      </c>
      <c r="L26" s="36">
        <v>22139</v>
      </c>
      <c r="M26" s="16">
        <v>4556</v>
      </c>
      <c r="N26" s="36">
        <v>3276</v>
      </c>
      <c r="O26" s="36">
        <v>1280</v>
      </c>
      <c r="P26" s="17">
        <v>349927</v>
      </c>
      <c r="Q26" s="17">
        <f>LEB_BY_DISTRICT!F26+SYR_BY_DISTRICT!F26+PAL_BY_DISTRICT!L26</f>
        <v>28675</v>
      </c>
      <c r="R26" s="17">
        <f>LEB_BY_DISTRICT!G26+SYR_BY_DISTRICT!G26+PAL_BY_DISTRICT!M26</f>
        <v>35592</v>
      </c>
      <c r="S26" s="17">
        <f>LEB_BY_DISTRICT!H26+SYR_BY_DISTRICT!H26+PAL_BY_DISTRICT!N26</f>
        <v>34068</v>
      </c>
      <c r="T26" s="17">
        <f>LEB_BY_DISTRICT!I26+SYR_BY_DISTRICT!I26+PAL_BY_DISTRICT!O26</f>
        <v>33594</v>
      </c>
      <c r="U26" s="17">
        <f>LEB_BY_DISTRICT!J26+SYR_BY_DISTRICT!J26+PAL_BY_DISTRICT!P26</f>
        <v>29928</v>
      </c>
      <c r="V26" s="17">
        <f>LEB_BY_DISTRICT!K26+SYR_BY_DISTRICT!K26+PAL_BY_DISTRICT!Q26</f>
        <v>25270</v>
      </c>
      <c r="W26" s="17">
        <f>LEB_BY_DISTRICT!L26+SYR_BY_DISTRICT!L26+PAL_BY_DISTRICT!R26</f>
        <v>22065</v>
      </c>
      <c r="X26" s="17">
        <f>LEB_BY_DISTRICT!M26+SYR_BY_DISTRICT!M26+PAL_BY_DISTRICT!S26</f>
        <v>21514</v>
      </c>
      <c r="Y26" s="17">
        <f>LEB_BY_DISTRICT!N26+SYR_BY_DISTRICT!N26+PAL_BY_DISTRICT!T26</f>
        <v>19583</v>
      </c>
      <c r="Z26" s="17">
        <f>LEB_BY_DISTRICT!O26+SYR_BY_DISTRICT!O26+PAL_BY_DISTRICT!U26</f>
        <v>17758</v>
      </c>
      <c r="AA26" s="17">
        <f>LEB_BY_DISTRICT!P26+SYR_BY_DISTRICT!P26+PAL_BY_DISTRICT!V26</f>
        <v>17619</v>
      </c>
      <c r="AB26" s="17">
        <f>LEB_BY_DISTRICT!Q26+SYR_BY_DISTRICT!Q26+PAL_BY_DISTRICT!W26</f>
        <v>16802</v>
      </c>
      <c r="AC26" s="17">
        <f>LEB_BY_DISTRICT!R26+SYR_BY_DISTRICT!R26+PAL_BY_DISTRICT!X26</f>
        <v>13711</v>
      </c>
      <c r="AD26" s="17">
        <f>LEB_BY_DISTRICT!S26+SYR_BY_DISTRICT!S26+PAL_BY_DISTRICT!Y26</f>
        <v>10772</v>
      </c>
      <c r="AE26" s="17">
        <f>LEB_BY_DISTRICT!T26+SYR_BY_DISTRICT!T26+PAL_BY_DISTRICT!Z26</f>
        <v>7706</v>
      </c>
      <c r="AF26" s="17">
        <f>LEB_BY_DISTRICT!U26+SYR_BY_DISTRICT!U26+PAL_BY_DISTRICT!AA26</f>
        <v>5123</v>
      </c>
      <c r="AG26" s="17">
        <f>LEB_BY_DISTRICT!V26+SYR_BY_DISTRICT!V26+PAL_BY_DISTRICT!AB26</f>
        <v>3413</v>
      </c>
      <c r="AH26" s="17">
        <f>LEB_BY_DISTRICT!W26+SYR_BY_DISTRICT!W26+PAL_BY_DISTRICT!AC26</f>
        <v>2178</v>
      </c>
    </row>
    <row r="27" spans="1:34" s="4" customFormat="1" ht="13.8">
      <c r="A27" s="4" t="s">
        <v>61</v>
      </c>
      <c r="B27" s="17">
        <v>181467</v>
      </c>
      <c r="C27" s="36">
        <v>95087</v>
      </c>
      <c r="D27" s="36">
        <v>86380</v>
      </c>
      <c r="E27" s="17">
        <v>43001</v>
      </c>
      <c r="F27" s="17">
        <v>39147</v>
      </c>
      <c r="G27" s="17">
        <v>3854</v>
      </c>
      <c r="H27" s="36">
        <v>22760</v>
      </c>
      <c r="I27" s="36">
        <v>20241</v>
      </c>
      <c r="J27" s="17">
        <v>27523</v>
      </c>
      <c r="K27" s="36">
        <v>13926</v>
      </c>
      <c r="L27" s="36">
        <v>13597</v>
      </c>
      <c r="M27" s="17">
        <v>6786</v>
      </c>
      <c r="N27" s="36">
        <v>4251</v>
      </c>
      <c r="O27" s="36">
        <v>2535</v>
      </c>
      <c r="P27" s="17">
        <v>258777</v>
      </c>
      <c r="Q27" s="17">
        <f>LEB_BY_DISTRICT!F27+SYR_BY_DISTRICT!F27+PAL_BY_DISTRICT!L27</f>
        <v>20659</v>
      </c>
      <c r="R27" s="17">
        <f>LEB_BY_DISTRICT!G27+SYR_BY_DISTRICT!G27+PAL_BY_DISTRICT!M27</f>
        <v>25413</v>
      </c>
      <c r="S27" s="17">
        <f>LEB_BY_DISTRICT!H27+SYR_BY_DISTRICT!H27+PAL_BY_DISTRICT!N27</f>
        <v>24545</v>
      </c>
      <c r="T27" s="17">
        <f>LEB_BY_DISTRICT!I27+SYR_BY_DISTRICT!I27+PAL_BY_DISTRICT!O27</f>
        <v>24337</v>
      </c>
      <c r="U27" s="17">
        <f>LEB_BY_DISTRICT!J27+SYR_BY_DISTRICT!J27+PAL_BY_DISTRICT!P27</f>
        <v>22280</v>
      </c>
      <c r="V27" s="17">
        <f>LEB_BY_DISTRICT!K27+SYR_BY_DISTRICT!K27+PAL_BY_DISTRICT!Q27</f>
        <v>18414</v>
      </c>
      <c r="W27" s="17">
        <f>LEB_BY_DISTRICT!L27+SYR_BY_DISTRICT!L27+PAL_BY_DISTRICT!R27</f>
        <v>15785</v>
      </c>
      <c r="X27" s="17">
        <f>LEB_BY_DISTRICT!M27+SYR_BY_DISTRICT!M27+PAL_BY_DISTRICT!S27</f>
        <v>15445</v>
      </c>
      <c r="Y27" s="17">
        <f>LEB_BY_DISTRICT!N27+SYR_BY_DISTRICT!N27+PAL_BY_DISTRICT!T27</f>
        <v>14255</v>
      </c>
      <c r="Z27" s="17">
        <f>LEB_BY_DISTRICT!O27+SYR_BY_DISTRICT!O27+PAL_BY_DISTRICT!U27</f>
        <v>12985</v>
      </c>
      <c r="AA27" s="17">
        <f>LEB_BY_DISTRICT!P27+SYR_BY_DISTRICT!P27+PAL_BY_DISTRICT!V27</f>
        <v>13283</v>
      </c>
      <c r="AB27" s="17">
        <f>LEB_BY_DISTRICT!Q27+SYR_BY_DISTRICT!Q27+PAL_BY_DISTRICT!W27</f>
        <v>12721</v>
      </c>
      <c r="AC27" s="17">
        <f>LEB_BY_DISTRICT!R27+SYR_BY_DISTRICT!R27+PAL_BY_DISTRICT!X27</f>
        <v>10145</v>
      </c>
      <c r="AD27" s="17">
        <f>LEB_BY_DISTRICT!S27+SYR_BY_DISTRICT!S27+PAL_BY_DISTRICT!Y27</f>
        <v>7914</v>
      </c>
      <c r="AE27" s="17">
        <f>LEB_BY_DISTRICT!T27+SYR_BY_DISTRICT!T27+PAL_BY_DISTRICT!Z27</f>
        <v>5686</v>
      </c>
      <c r="AF27" s="17">
        <f>LEB_BY_DISTRICT!U27+SYR_BY_DISTRICT!U27+PAL_BY_DISTRICT!AA27</f>
        <v>3791</v>
      </c>
      <c r="AG27" s="17">
        <f>LEB_BY_DISTRICT!V27+SYR_BY_DISTRICT!V27+PAL_BY_DISTRICT!AB27</f>
        <v>2600</v>
      </c>
      <c r="AH27" s="17">
        <f>LEB_BY_DISTRICT!W27+SYR_BY_DISTRICT!W27+PAL_BY_DISTRICT!AC27</f>
        <v>1733</v>
      </c>
    </row>
  </sheetData>
  <pageMargins left="0" right="0" top="0.39370000000000011" bottom="0.39370000000000011" header="0" footer="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
  <sheetViews>
    <sheetView workbookViewId="0">
      <selection activeCell="A2" sqref="A2:W9"/>
    </sheetView>
  </sheetViews>
  <sheetFormatPr defaultRowHeight="13.2"/>
  <cols>
    <col min="1" max="1" width="12.21875" customWidth="1"/>
    <col min="2" max="2" width="19.44140625" customWidth="1"/>
    <col min="3" max="1024" width="12.21875" customWidth="1"/>
  </cols>
  <sheetData>
    <row r="1" spans="1:23" s="3" customFormat="1" ht="37.950000000000003" customHeight="1">
      <c r="A1" s="30" t="s">
        <v>0</v>
      </c>
      <c r="B1" s="31" t="s">
        <v>1</v>
      </c>
      <c r="C1" s="31" t="s">
        <v>62</v>
      </c>
      <c r="D1" s="31" t="s">
        <v>2</v>
      </c>
      <c r="E1" s="31" t="s">
        <v>3</v>
      </c>
      <c r="F1" s="31" t="s">
        <v>70</v>
      </c>
      <c r="G1" s="31" t="s">
        <v>14</v>
      </c>
      <c r="H1" s="31" t="s">
        <v>15</v>
      </c>
      <c r="I1" s="31" t="s">
        <v>16</v>
      </c>
      <c r="J1" s="31" t="s">
        <v>17</v>
      </c>
      <c r="K1" s="31" t="s">
        <v>18</v>
      </c>
      <c r="L1" s="31" t="s">
        <v>19</v>
      </c>
      <c r="M1" s="31" t="s">
        <v>20</v>
      </c>
      <c r="N1" s="31" t="s">
        <v>21</v>
      </c>
      <c r="O1" s="31" t="s">
        <v>22</v>
      </c>
      <c r="P1" s="31" t="s">
        <v>23</v>
      </c>
      <c r="Q1" s="31" t="s">
        <v>24</v>
      </c>
      <c r="R1" s="31" t="s">
        <v>25</v>
      </c>
      <c r="S1" s="31" t="s">
        <v>26</v>
      </c>
      <c r="T1" s="31" t="s">
        <v>27</v>
      </c>
      <c r="U1" s="31" t="s">
        <v>28</v>
      </c>
      <c r="V1" s="31" t="s">
        <v>29</v>
      </c>
      <c r="W1" s="31" t="s">
        <v>30</v>
      </c>
    </row>
    <row r="2" spans="1:23" s="4" customFormat="1" ht="13.8">
      <c r="A2" s="4" t="s">
        <v>31</v>
      </c>
      <c r="B2" s="17">
        <v>296722</v>
      </c>
      <c r="C2" s="18">
        <v>7.6785525746474903E-2</v>
      </c>
      <c r="D2" s="17">
        <v>147487</v>
      </c>
      <c r="E2" s="17">
        <v>149235</v>
      </c>
      <c r="F2" s="17">
        <v>31713</v>
      </c>
      <c r="G2" s="17">
        <v>32161</v>
      </c>
      <c r="H2" s="17">
        <v>30655</v>
      </c>
      <c r="I2" s="17">
        <v>31074</v>
      </c>
      <c r="J2" s="17">
        <v>28714</v>
      </c>
      <c r="K2" s="17">
        <v>23439</v>
      </c>
      <c r="L2" s="17">
        <v>18206</v>
      </c>
      <c r="M2" s="17">
        <v>18552</v>
      </c>
      <c r="N2" s="17">
        <v>17525</v>
      </c>
      <c r="O2" s="17">
        <v>13705</v>
      </c>
      <c r="P2" s="17">
        <v>13647</v>
      </c>
      <c r="Q2" s="17">
        <v>11397</v>
      </c>
      <c r="R2" s="17">
        <v>7169</v>
      </c>
      <c r="S2" s="17">
        <v>6047</v>
      </c>
      <c r="T2" s="17">
        <v>5450</v>
      </c>
      <c r="U2" s="17">
        <v>3505</v>
      </c>
      <c r="V2" s="17">
        <v>2115</v>
      </c>
      <c r="W2" s="17">
        <v>1648</v>
      </c>
    </row>
    <row r="3" spans="1:23" s="5" customFormat="1" ht="13.8">
      <c r="A3" s="14" t="s">
        <v>32</v>
      </c>
      <c r="B3" s="19">
        <v>220695</v>
      </c>
      <c r="C3" s="20">
        <v>5.7111308243467891E-2</v>
      </c>
      <c r="D3" s="19">
        <v>114229</v>
      </c>
      <c r="E3" s="19">
        <v>106466</v>
      </c>
      <c r="F3" s="19">
        <v>19042</v>
      </c>
      <c r="G3" s="19">
        <v>21456</v>
      </c>
      <c r="H3" s="19">
        <v>19630</v>
      </c>
      <c r="I3" s="19">
        <v>20775</v>
      </c>
      <c r="J3" s="19">
        <v>20454</v>
      </c>
      <c r="K3" s="19">
        <v>15705</v>
      </c>
      <c r="L3" s="19">
        <v>13843</v>
      </c>
      <c r="M3" s="19">
        <v>13711</v>
      </c>
      <c r="N3" s="19">
        <v>12222</v>
      </c>
      <c r="O3" s="19">
        <v>13755</v>
      </c>
      <c r="P3" s="19">
        <v>14038</v>
      </c>
      <c r="Q3" s="19">
        <v>9665</v>
      </c>
      <c r="R3" s="19">
        <v>8072</v>
      </c>
      <c r="S3" s="19">
        <v>5868</v>
      </c>
      <c r="T3" s="19">
        <v>4814</v>
      </c>
      <c r="U3" s="19">
        <v>3935</v>
      </c>
      <c r="V3" s="19">
        <v>2181</v>
      </c>
      <c r="W3" s="19">
        <v>1529</v>
      </c>
    </row>
    <row r="4" spans="1:23" s="4" customFormat="1" ht="13.8">
      <c r="A4" s="4" t="s">
        <v>33</v>
      </c>
      <c r="B4" s="21">
        <v>237027</v>
      </c>
      <c r="C4" s="22">
        <v>6.1337692557712972E-2</v>
      </c>
      <c r="D4" s="21">
        <v>128048</v>
      </c>
      <c r="E4" s="21">
        <v>108979</v>
      </c>
      <c r="F4" s="21">
        <v>15738</v>
      </c>
      <c r="G4" s="21">
        <v>15162</v>
      </c>
      <c r="H4" s="21">
        <v>14591</v>
      </c>
      <c r="I4" s="21">
        <v>15505</v>
      </c>
      <c r="J4" s="21">
        <v>20374</v>
      </c>
      <c r="K4" s="21">
        <v>20572</v>
      </c>
      <c r="L4" s="21">
        <v>18068</v>
      </c>
      <c r="M4" s="21">
        <v>14751</v>
      </c>
      <c r="N4" s="21">
        <v>13514</v>
      </c>
      <c r="O4" s="21">
        <v>11583</v>
      </c>
      <c r="P4" s="21">
        <v>12530</v>
      </c>
      <c r="Q4" s="21">
        <v>11992</v>
      </c>
      <c r="R4" s="21">
        <v>13646</v>
      </c>
      <c r="S4" s="21">
        <v>10298</v>
      </c>
      <c r="T4" s="21">
        <v>10002</v>
      </c>
      <c r="U4" s="21">
        <v>7192</v>
      </c>
      <c r="V4" s="21">
        <v>6463</v>
      </c>
      <c r="W4" s="21">
        <v>5046</v>
      </c>
    </row>
    <row r="5" spans="1:23" s="5" customFormat="1" ht="13.8">
      <c r="A5" s="14" t="s">
        <v>34</v>
      </c>
      <c r="B5" s="19">
        <v>238604</v>
      </c>
      <c r="C5" s="20">
        <v>6.1745787589770555E-2</v>
      </c>
      <c r="D5" s="19">
        <v>120727</v>
      </c>
      <c r="E5" s="19">
        <v>117877</v>
      </c>
      <c r="F5" s="19">
        <v>19157</v>
      </c>
      <c r="G5" s="19">
        <v>21021</v>
      </c>
      <c r="H5" s="19">
        <v>19477</v>
      </c>
      <c r="I5" s="19">
        <v>20162</v>
      </c>
      <c r="J5" s="19">
        <v>21704</v>
      </c>
      <c r="K5" s="19">
        <v>17515</v>
      </c>
      <c r="L5" s="19">
        <v>15879</v>
      </c>
      <c r="M5" s="19">
        <v>14615</v>
      </c>
      <c r="N5" s="19">
        <v>12548</v>
      </c>
      <c r="O5" s="19">
        <v>14347</v>
      </c>
      <c r="P5" s="19">
        <v>15807</v>
      </c>
      <c r="Q5" s="19">
        <v>12153</v>
      </c>
      <c r="R5" s="19">
        <v>9764</v>
      </c>
      <c r="S5" s="19">
        <v>7261</v>
      </c>
      <c r="T5" s="19">
        <v>6584</v>
      </c>
      <c r="U5" s="19">
        <v>5015</v>
      </c>
      <c r="V5" s="19">
        <v>3141</v>
      </c>
      <c r="W5" s="19">
        <v>2454</v>
      </c>
    </row>
    <row r="6" spans="1:23" s="4" customFormat="1" ht="13.8">
      <c r="A6" s="4" t="s">
        <v>35</v>
      </c>
      <c r="B6" s="21">
        <v>1573998</v>
      </c>
      <c r="C6" s="22">
        <v>0.40731817645439172</v>
      </c>
      <c r="D6" s="21">
        <v>810679</v>
      </c>
      <c r="E6" s="21">
        <v>763319</v>
      </c>
      <c r="F6" s="21">
        <v>113844</v>
      </c>
      <c r="G6" s="21">
        <v>118358</v>
      </c>
      <c r="H6" s="21">
        <v>107746</v>
      </c>
      <c r="I6" s="21">
        <v>118857</v>
      </c>
      <c r="J6" s="21">
        <v>140543</v>
      </c>
      <c r="K6" s="21">
        <v>127310</v>
      </c>
      <c r="L6" s="21">
        <v>111005</v>
      </c>
      <c r="M6" s="21">
        <v>102105</v>
      </c>
      <c r="N6" s="21">
        <v>89782</v>
      </c>
      <c r="O6" s="21">
        <v>89007</v>
      </c>
      <c r="P6" s="21">
        <v>100161</v>
      </c>
      <c r="Q6" s="21">
        <v>88353</v>
      </c>
      <c r="R6" s="21">
        <v>74667</v>
      </c>
      <c r="S6" s="21">
        <v>61577</v>
      </c>
      <c r="T6" s="21">
        <v>47927</v>
      </c>
      <c r="U6" s="21">
        <v>35803</v>
      </c>
      <c r="V6" s="21">
        <v>26942</v>
      </c>
      <c r="W6" s="21">
        <v>20011</v>
      </c>
    </row>
    <row r="7" spans="1:23" s="5" customFormat="1" ht="13.8">
      <c r="A7" s="14" t="s">
        <v>36</v>
      </c>
      <c r="B7" s="19">
        <v>314750</v>
      </c>
      <c r="C7" s="20">
        <v>8.1450799835209309E-2</v>
      </c>
      <c r="D7" s="19">
        <v>160378</v>
      </c>
      <c r="E7" s="19">
        <v>154372</v>
      </c>
      <c r="F7" s="19">
        <v>25452</v>
      </c>
      <c r="G7" s="19">
        <v>29004</v>
      </c>
      <c r="H7" s="19">
        <v>29023</v>
      </c>
      <c r="I7" s="19">
        <v>28872</v>
      </c>
      <c r="J7" s="19">
        <v>29042</v>
      </c>
      <c r="K7" s="19">
        <v>22106</v>
      </c>
      <c r="L7" s="19">
        <v>17602</v>
      </c>
      <c r="M7" s="19">
        <v>16581</v>
      </c>
      <c r="N7" s="19">
        <v>16108</v>
      </c>
      <c r="O7" s="19">
        <v>18909</v>
      </c>
      <c r="P7" s="19">
        <v>20371</v>
      </c>
      <c r="Q7" s="19">
        <v>15639</v>
      </c>
      <c r="R7" s="19">
        <v>12560</v>
      </c>
      <c r="S7" s="19">
        <v>8491</v>
      </c>
      <c r="T7" s="19">
        <v>8817</v>
      </c>
      <c r="U7" s="19">
        <v>6685</v>
      </c>
      <c r="V7" s="19">
        <v>5447</v>
      </c>
      <c r="W7" s="19">
        <v>4041</v>
      </c>
    </row>
    <row r="8" spans="1:23" s="4" customFormat="1" ht="13.8">
      <c r="A8" s="4" t="s">
        <v>37</v>
      </c>
      <c r="B8" s="21">
        <v>540792</v>
      </c>
      <c r="C8" s="22">
        <v>0.13994580125332015</v>
      </c>
      <c r="D8" s="21">
        <v>279818</v>
      </c>
      <c r="E8" s="21">
        <v>260974</v>
      </c>
      <c r="F8" s="21">
        <v>43319</v>
      </c>
      <c r="G8" s="21">
        <v>48428</v>
      </c>
      <c r="H8" s="21">
        <v>46868</v>
      </c>
      <c r="I8" s="21">
        <v>48783</v>
      </c>
      <c r="J8" s="21">
        <v>51085</v>
      </c>
      <c r="K8" s="21">
        <v>40290</v>
      </c>
      <c r="L8" s="21">
        <v>34110</v>
      </c>
      <c r="M8" s="21">
        <v>31133</v>
      </c>
      <c r="N8" s="21">
        <v>29764</v>
      </c>
      <c r="O8" s="21">
        <v>31287</v>
      </c>
      <c r="P8" s="21">
        <v>32126</v>
      </c>
      <c r="Q8" s="21">
        <v>28152</v>
      </c>
      <c r="R8" s="21">
        <v>24373</v>
      </c>
      <c r="S8" s="21">
        <v>16091</v>
      </c>
      <c r="T8" s="21">
        <v>13006</v>
      </c>
      <c r="U8" s="21">
        <v>8929</v>
      </c>
      <c r="V8" s="21">
        <v>8194</v>
      </c>
      <c r="W8" s="21">
        <v>4854</v>
      </c>
    </row>
    <row r="9" spans="1:23" s="5" customFormat="1" ht="13.8">
      <c r="A9" s="14" t="s">
        <v>38</v>
      </c>
      <c r="B9" s="19">
        <v>441708</v>
      </c>
      <c r="C9" s="20">
        <v>0.11430490831965254</v>
      </c>
      <c r="D9" s="19">
        <v>231754</v>
      </c>
      <c r="E9" s="19">
        <v>209954</v>
      </c>
      <c r="F9" s="19">
        <v>35699</v>
      </c>
      <c r="G9" s="19">
        <v>40186</v>
      </c>
      <c r="H9" s="19">
        <v>39230</v>
      </c>
      <c r="I9" s="19">
        <v>41424</v>
      </c>
      <c r="J9" s="19">
        <v>40519</v>
      </c>
      <c r="K9" s="19">
        <v>32864</v>
      </c>
      <c r="L9" s="19">
        <v>27567</v>
      </c>
      <c r="M9" s="19">
        <v>26608</v>
      </c>
      <c r="N9" s="19">
        <v>25084</v>
      </c>
      <c r="O9" s="19">
        <v>23735</v>
      </c>
      <c r="P9" s="19">
        <v>25131</v>
      </c>
      <c r="Q9" s="19">
        <v>24066</v>
      </c>
      <c r="R9" s="19">
        <v>18134</v>
      </c>
      <c r="S9" s="19">
        <v>15040</v>
      </c>
      <c r="T9" s="19">
        <v>11109</v>
      </c>
      <c r="U9" s="19">
        <v>7460</v>
      </c>
      <c r="V9" s="19">
        <v>4765</v>
      </c>
      <c r="W9" s="19">
        <v>3087</v>
      </c>
    </row>
  </sheetData>
  <pageMargins left="0" right="0" top="0.39370000000000011" bottom="0.39370000000000011" header="0" footer="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7"/>
  <sheetViews>
    <sheetView tabSelected="1" topLeftCell="C1" workbookViewId="0">
      <selection activeCell="F2" sqref="F2"/>
    </sheetView>
  </sheetViews>
  <sheetFormatPr defaultRowHeight="13.2"/>
  <cols>
    <col min="1" max="1024" width="12.21875" customWidth="1"/>
  </cols>
  <sheetData>
    <row r="1" spans="1:23" s="3" customFormat="1" ht="37.950000000000003" customHeight="1">
      <c r="A1" s="1" t="s">
        <v>80</v>
      </c>
      <c r="B1" s="2" t="s">
        <v>1</v>
      </c>
      <c r="C1" s="2" t="s">
        <v>62</v>
      </c>
      <c r="D1" s="2" t="s">
        <v>2</v>
      </c>
      <c r="E1" s="2" t="s">
        <v>3</v>
      </c>
      <c r="F1" s="2" t="s">
        <v>13</v>
      </c>
      <c r="G1" s="2" t="s">
        <v>14</v>
      </c>
      <c r="H1" s="2" t="s">
        <v>15</v>
      </c>
      <c r="I1" s="2" t="s">
        <v>16</v>
      </c>
      <c r="J1" s="2" t="s">
        <v>17</v>
      </c>
      <c r="K1" s="2" t="s">
        <v>18</v>
      </c>
      <c r="L1" s="2" t="s">
        <v>19</v>
      </c>
      <c r="M1" s="2" t="s">
        <v>20</v>
      </c>
      <c r="N1" s="2" t="s">
        <v>21</v>
      </c>
      <c r="O1" s="2" t="s">
        <v>22</v>
      </c>
      <c r="P1" s="2" t="s">
        <v>23</v>
      </c>
      <c r="Q1" s="2" t="s">
        <v>24</v>
      </c>
      <c r="R1" s="2" t="s">
        <v>25</v>
      </c>
      <c r="S1" s="2" t="s">
        <v>26</v>
      </c>
      <c r="T1" s="2" t="s">
        <v>27</v>
      </c>
      <c r="U1" s="2" t="s">
        <v>28</v>
      </c>
      <c r="V1" s="2" t="s">
        <v>29</v>
      </c>
      <c r="W1" s="2" t="s">
        <v>30</v>
      </c>
    </row>
    <row r="2" spans="1:23" s="5" customFormat="1" ht="13.8">
      <c r="A2" s="14" t="s">
        <v>31</v>
      </c>
      <c r="B2" s="16">
        <v>296722</v>
      </c>
      <c r="C2" s="23">
        <v>7.6785525746474903E-2</v>
      </c>
      <c r="D2" s="16">
        <v>147487</v>
      </c>
      <c r="E2" s="16">
        <v>149235</v>
      </c>
      <c r="F2" s="16">
        <v>31713</v>
      </c>
      <c r="G2" s="16">
        <v>32161</v>
      </c>
      <c r="H2" s="16">
        <v>30655</v>
      </c>
      <c r="I2" s="16">
        <v>31074</v>
      </c>
      <c r="J2" s="16">
        <v>28714</v>
      </c>
      <c r="K2" s="16">
        <v>23439</v>
      </c>
      <c r="L2" s="16">
        <v>18206</v>
      </c>
      <c r="M2" s="16">
        <v>18552</v>
      </c>
      <c r="N2" s="16">
        <v>17525</v>
      </c>
      <c r="O2" s="16">
        <v>13705</v>
      </c>
      <c r="P2" s="16">
        <v>13647</v>
      </c>
      <c r="Q2" s="16">
        <v>11397</v>
      </c>
      <c r="R2" s="16">
        <v>7169</v>
      </c>
      <c r="S2" s="16">
        <v>6047</v>
      </c>
      <c r="T2" s="16">
        <v>5450</v>
      </c>
      <c r="U2" s="16">
        <v>3505</v>
      </c>
      <c r="V2" s="16">
        <v>2115</v>
      </c>
      <c r="W2" s="16">
        <v>1648</v>
      </c>
    </row>
    <row r="3" spans="1:23" s="4" customFormat="1" ht="13.8">
      <c r="A3" s="4" t="s">
        <v>39</v>
      </c>
      <c r="B3" s="17">
        <v>201126</v>
      </c>
      <c r="C3" s="18">
        <v>5.2047255179209877E-2</v>
      </c>
      <c r="D3" s="17">
        <v>104430</v>
      </c>
      <c r="E3" s="17">
        <v>96696</v>
      </c>
      <c r="F3" s="17">
        <v>17354</v>
      </c>
      <c r="G3" s="17">
        <v>19553</v>
      </c>
      <c r="H3" s="17">
        <v>17890</v>
      </c>
      <c r="I3" s="17">
        <v>18932</v>
      </c>
      <c r="J3" s="17">
        <v>18640</v>
      </c>
      <c r="K3" s="17">
        <v>14312</v>
      </c>
      <c r="L3" s="17">
        <v>12616</v>
      </c>
      <c r="M3" s="17">
        <v>12496</v>
      </c>
      <c r="N3" s="17">
        <v>11138</v>
      </c>
      <c r="O3" s="17">
        <v>12535</v>
      </c>
      <c r="P3" s="17">
        <v>12793</v>
      </c>
      <c r="Q3" s="17">
        <v>8808</v>
      </c>
      <c r="R3" s="17">
        <v>7356</v>
      </c>
      <c r="S3" s="17">
        <v>5348</v>
      </c>
      <c r="T3" s="17">
        <v>4387</v>
      </c>
      <c r="U3" s="17">
        <v>3586</v>
      </c>
      <c r="V3" s="17">
        <v>1988</v>
      </c>
      <c r="W3" s="17">
        <v>1394</v>
      </c>
    </row>
    <row r="4" spans="1:23" s="5" customFormat="1" ht="13.8">
      <c r="A4" s="14" t="s">
        <v>40</v>
      </c>
      <c r="B4" s="16">
        <v>19569</v>
      </c>
      <c r="C4" s="23">
        <v>5.0640530642580171E-3</v>
      </c>
      <c r="D4" s="16">
        <v>9799</v>
      </c>
      <c r="E4" s="16">
        <v>9770</v>
      </c>
      <c r="F4" s="16">
        <v>1688</v>
      </c>
      <c r="G4" s="16">
        <v>1903</v>
      </c>
      <c r="H4" s="16">
        <v>1740</v>
      </c>
      <c r="I4" s="16">
        <v>1843</v>
      </c>
      <c r="J4" s="16">
        <v>1814</v>
      </c>
      <c r="K4" s="16">
        <v>1393</v>
      </c>
      <c r="L4" s="16">
        <v>1227</v>
      </c>
      <c r="M4" s="16">
        <v>1215</v>
      </c>
      <c r="N4" s="16">
        <v>1084</v>
      </c>
      <c r="O4" s="16">
        <v>1220</v>
      </c>
      <c r="P4" s="16">
        <v>1245</v>
      </c>
      <c r="Q4" s="16">
        <v>857</v>
      </c>
      <c r="R4" s="16">
        <v>716</v>
      </c>
      <c r="S4" s="16">
        <v>520</v>
      </c>
      <c r="T4" s="16">
        <v>427</v>
      </c>
      <c r="U4" s="16">
        <v>349</v>
      </c>
      <c r="V4" s="16">
        <v>193</v>
      </c>
      <c r="W4" s="16">
        <v>135</v>
      </c>
    </row>
    <row r="5" spans="1:23" s="4" customFormat="1" ht="13.8">
      <c r="A5" s="4" t="s">
        <v>33</v>
      </c>
      <c r="B5" s="17">
        <v>237027</v>
      </c>
      <c r="C5" s="18">
        <v>6.1337692557712972E-2</v>
      </c>
      <c r="D5" s="17">
        <v>128048</v>
      </c>
      <c r="E5" s="17">
        <v>108979</v>
      </c>
      <c r="F5" s="17">
        <v>15738</v>
      </c>
      <c r="G5" s="17">
        <v>15162</v>
      </c>
      <c r="H5" s="17">
        <v>14591</v>
      </c>
      <c r="I5" s="17">
        <v>15505</v>
      </c>
      <c r="J5" s="17">
        <v>20374</v>
      </c>
      <c r="K5" s="17">
        <v>20572</v>
      </c>
      <c r="L5" s="17">
        <v>18068</v>
      </c>
      <c r="M5" s="17">
        <v>14751</v>
      </c>
      <c r="N5" s="17">
        <v>13514</v>
      </c>
      <c r="O5" s="17">
        <v>11583</v>
      </c>
      <c r="P5" s="17">
        <v>12530</v>
      </c>
      <c r="Q5" s="17">
        <v>11992</v>
      </c>
      <c r="R5" s="17">
        <v>13646</v>
      </c>
      <c r="S5" s="17">
        <v>10298</v>
      </c>
      <c r="T5" s="17">
        <v>10002</v>
      </c>
      <c r="U5" s="17">
        <v>7192</v>
      </c>
      <c r="V5" s="17">
        <v>6463</v>
      </c>
      <c r="W5" s="17">
        <v>5046</v>
      </c>
    </row>
    <row r="6" spans="1:23" s="5" customFormat="1" ht="13.8">
      <c r="A6" s="14" t="s">
        <v>41</v>
      </c>
      <c r="B6" s="16">
        <v>31665</v>
      </c>
      <c r="C6" s="23">
        <v>8.194248059672447E-3</v>
      </c>
      <c r="D6" s="16">
        <v>15883</v>
      </c>
      <c r="E6" s="16">
        <v>15782</v>
      </c>
      <c r="F6" s="16">
        <v>2542</v>
      </c>
      <c r="G6" s="16">
        <v>2790</v>
      </c>
      <c r="H6" s="16">
        <v>2585</v>
      </c>
      <c r="I6" s="16">
        <v>2676</v>
      </c>
      <c r="J6" s="16">
        <v>2881</v>
      </c>
      <c r="K6" s="16">
        <v>2324</v>
      </c>
      <c r="L6" s="16">
        <v>2107</v>
      </c>
      <c r="M6" s="16">
        <v>1939</v>
      </c>
      <c r="N6" s="16">
        <v>1665</v>
      </c>
      <c r="O6" s="16">
        <v>1904</v>
      </c>
      <c r="P6" s="16">
        <v>2098</v>
      </c>
      <c r="Q6" s="16">
        <v>1612</v>
      </c>
      <c r="R6" s="16">
        <v>1296</v>
      </c>
      <c r="S6" s="16">
        <v>963</v>
      </c>
      <c r="T6" s="16">
        <v>874</v>
      </c>
      <c r="U6" s="16">
        <v>666</v>
      </c>
      <c r="V6" s="16">
        <v>417</v>
      </c>
      <c r="W6" s="16">
        <v>326</v>
      </c>
    </row>
    <row r="7" spans="1:23" s="4" customFormat="1" ht="13.8">
      <c r="A7" s="4" t="s">
        <v>42</v>
      </c>
      <c r="B7" s="17">
        <v>67540</v>
      </c>
      <c r="C7" s="18">
        <v>1.7477957175123231E-2</v>
      </c>
      <c r="D7" s="17">
        <v>34657</v>
      </c>
      <c r="E7" s="17">
        <v>32883</v>
      </c>
      <c r="F7" s="17">
        <v>5423</v>
      </c>
      <c r="G7" s="17">
        <v>5950</v>
      </c>
      <c r="H7" s="17">
        <v>5513</v>
      </c>
      <c r="I7" s="17">
        <v>5707</v>
      </c>
      <c r="J7" s="17">
        <v>6143</v>
      </c>
      <c r="K7" s="17">
        <v>4958</v>
      </c>
      <c r="L7" s="17">
        <v>4495</v>
      </c>
      <c r="M7" s="17">
        <v>4137</v>
      </c>
      <c r="N7" s="17">
        <v>3552</v>
      </c>
      <c r="O7" s="17">
        <v>4061</v>
      </c>
      <c r="P7" s="17">
        <v>4474</v>
      </c>
      <c r="Q7" s="17">
        <v>3442</v>
      </c>
      <c r="R7" s="17">
        <v>2763</v>
      </c>
      <c r="S7" s="17">
        <v>2056</v>
      </c>
      <c r="T7" s="17">
        <v>1864</v>
      </c>
      <c r="U7" s="17">
        <v>1419</v>
      </c>
      <c r="V7" s="17">
        <v>889</v>
      </c>
      <c r="W7" s="17">
        <v>694</v>
      </c>
    </row>
    <row r="8" spans="1:23" s="5" customFormat="1" ht="13.8">
      <c r="A8" s="14" t="s">
        <v>43</v>
      </c>
      <c r="B8" s="16">
        <v>139399</v>
      </c>
      <c r="C8" s="23">
        <v>3.6073582354974876E-2</v>
      </c>
      <c r="D8" s="16">
        <v>70187</v>
      </c>
      <c r="E8" s="16">
        <v>69212</v>
      </c>
      <c r="F8" s="16">
        <v>11192</v>
      </c>
      <c r="G8" s="16">
        <v>12281</v>
      </c>
      <c r="H8" s="16">
        <v>11379</v>
      </c>
      <c r="I8" s="16">
        <v>11779</v>
      </c>
      <c r="J8" s="16">
        <v>12680</v>
      </c>
      <c r="K8" s="16">
        <v>10233</v>
      </c>
      <c r="L8" s="16">
        <v>9277</v>
      </c>
      <c r="M8" s="16">
        <v>8539</v>
      </c>
      <c r="N8" s="16">
        <v>7331</v>
      </c>
      <c r="O8" s="16">
        <v>8382</v>
      </c>
      <c r="P8" s="16">
        <v>9235</v>
      </c>
      <c r="Q8" s="16">
        <v>7099</v>
      </c>
      <c r="R8" s="16">
        <v>5705</v>
      </c>
      <c r="S8" s="16">
        <v>4242</v>
      </c>
      <c r="T8" s="16">
        <v>3846</v>
      </c>
      <c r="U8" s="16">
        <v>2930</v>
      </c>
      <c r="V8" s="16">
        <v>1835</v>
      </c>
      <c r="W8" s="16">
        <v>1434</v>
      </c>
    </row>
    <row r="9" spans="1:23" s="4" customFormat="1" ht="13.8">
      <c r="A9" s="4" t="s">
        <v>44</v>
      </c>
      <c r="B9" s="17">
        <v>215290</v>
      </c>
      <c r="C9" s="18">
        <v>5.5712605866631335E-2</v>
      </c>
      <c r="D9" s="17">
        <v>107754</v>
      </c>
      <c r="E9" s="17">
        <v>107536</v>
      </c>
      <c r="F9" s="17">
        <v>15572</v>
      </c>
      <c r="G9" s="17">
        <v>16189</v>
      </c>
      <c r="H9" s="17">
        <v>14738</v>
      </c>
      <c r="I9" s="17">
        <v>16257</v>
      </c>
      <c r="J9" s="17">
        <v>19224</v>
      </c>
      <c r="K9" s="17">
        <v>17413</v>
      </c>
      <c r="L9" s="17">
        <v>15183</v>
      </c>
      <c r="M9" s="17">
        <v>13965</v>
      </c>
      <c r="N9" s="17">
        <v>12280</v>
      </c>
      <c r="O9" s="17">
        <v>12174</v>
      </c>
      <c r="P9" s="17">
        <v>13700</v>
      </c>
      <c r="Q9" s="17">
        <v>12085</v>
      </c>
      <c r="R9" s="17">
        <v>10213</v>
      </c>
      <c r="S9" s="17">
        <v>8423</v>
      </c>
      <c r="T9" s="17">
        <v>6555</v>
      </c>
      <c r="U9" s="17">
        <v>4897</v>
      </c>
      <c r="V9" s="17">
        <v>3685</v>
      </c>
      <c r="W9" s="17">
        <v>2737</v>
      </c>
    </row>
    <row r="10" spans="1:23" s="5" customFormat="1" ht="13.8">
      <c r="A10" s="14" t="s">
        <v>45</v>
      </c>
      <c r="B10" s="16">
        <v>408641</v>
      </c>
      <c r="C10" s="23">
        <v>0.10574785161385153</v>
      </c>
      <c r="D10" s="16">
        <v>213123</v>
      </c>
      <c r="E10" s="16">
        <v>195518</v>
      </c>
      <c r="F10" s="16">
        <v>29556</v>
      </c>
      <c r="G10" s="16">
        <v>30728</v>
      </c>
      <c r="H10" s="16">
        <v>27973</v>
      </c>
      <c r="I10" s="16">
        <v>30857</v>
      </c>
      <c r="J10" s="16">
        <v>36487</v>
      </c>
      <c r="K10" s="16">
        <v>33052</v>
      </c>
      <c r="L10" s="16">
        <v>28819</v>
      </c>
      <c r="M10" s="16">
        <v>26509</v>
      </c>
      <c r="N10" s="16">
        <v>23309</v>
      </c>
      <c r="O10" s="16">
        <v>23108</v>
      </c>
      <c r="P10" s="16">
        <v>26004</v>
      </c>
      <c r="Q10" s="16">
        <v>22938</v>
      </c>
      <c r="R10" s="16">
        <v>19385</v>
      </c>
      <c r="S10" s="16">
        <v>15988</v>
      </c>
      <c r="T10" s="16">
        <v>12443</v>
      </c>
      <c r="U10" s="16">
        <v>9295</v>
      </c>
      <c r="V10" s="16">
        <v>6995</v>
      </c>
      <c r="W10" s="16">
        <v>5195</v>
      </c>
    </row>
    <row r="11" spans="1:23" s="4" customFormat="1" ht="13.8">
      <c r="A11" s="4" t="s">
        <v>46</v>
      </c>
      <c r="B11" s="17">
        <v>208477</v>
      </c>
      <c r="C11" s="18">
        <v>5.3949542167577226E-2</v>
      </c>
      <c r="D11" s="17">
        <v>106086</v>
      </c>
      <c r="E11" s="17">
        <v>102391</v>
      </c>
      <c r="F11" s="17">
        <v>15079</v>
      </c>
      <c r="G11" s="17">
        <v>15676</v>
      </c>
      <c r="H11" s="17">
        <v>14271</v>
      </c>
      <c r="I11" s="17">
        <v>15743</v>
      </c>
      <c r="J11" s="17">
        <v>18614</v>
      </c>
      <c r="K11" s="17">
        <v>16863</v>
      </c>
      <c r="L11" s="17">
        <v>14703</v>
      </c>
      <c r="M11" s="17">
        <v>13524</v>
      </c>
      <c r="N11" s="17">
        <v>11892</v>
      </c>
      <c r="O11" s="17">
        <v>11789</v>
      </c>
      <c r="P11" s="17">
        <v>13266</v>
      </c>
      <c r="Q11" s="17">
        <v>11703</v>
      </c>
      <c r="R11" s="17">
        <v>9890</v>
      </c>
      <c r="S11" s="17">
        <v>8156</v>
      </c>
      <c r="T11" s="17">
        <v>6348</v>
      </c>
      <c r="U11" s="17">
        <v>4742</v>
      </c>
      <c r="V11" s="17">
        <v>3568</v>
      </c>
      <c r="W11" s="17">
        <v>2650</v>
      </c>
    </row>
    <row r="12" spans="1:23" s="5" customFormat="1" ht="13.8">
      <c r="A12" s="14" t="s">
        <v>47</v>
      </c>
      <c r="B12" s="16">
        <v>396657</v>
      </c>
      <c r="C12" s="23">
        <v>0.10264663990543167</v>
      </c>
      <c r="D12" s="16">
        <v>202787</v>
      </c>
      <c r="E12" s="16">
        <v>193870</v>
      </c>
      <c r="F12" s="16">
        <v>28689</v>
      </c>
      <c r="G12" s="16">
        <v>29827</v>
      </c>
      <c r="H12" s="16">
        <v>27152</v>
      </c>
      <c r="I12" s="16">
        <v>29953</v>
      </c>
      <c r="J12" s="16">
        <v>35419</v>
      </c>
      <c r="K12" s="16">
        <v>32083</v>
      </c>
      <c r="L12" s="16">
        <v>27974</v>
      </c>
      <c r="M12" s="16">
        <v>25731</v>
      </c>
      <c r="N12" s="16">
        <v>22625</v>
      </c>
      <c r="O12" s="16">
        <v>22430</v>
      </c>
      <c r="P12" s="16">
        <v>25242</v>
      </c>
      <c r="Q12" s="16">
        <v>22265</v>
      </c>
      <c r="R12" s="16">
        <v>18816</v>
      </c>
      <c r="S12" s="16">
        <v>15518</v>
      </c>
      <c r="T12" s="16">
        <v>12078</v>
      </c>
      <c r="U12" s="16">
        <v>9023</v>
      </c>
      <c r="V12" s="16">
        <v>6789</v>
      </c>
      <c r="W12" s="16">
        <v>5043</v>
      </c>
    </row>
    <row r="13" spans="1:23" s="4" customFormat="1" ht="13.8">
      <c r="A13" s="4" t="s">
        <v>48</v>
      </c>
      <c r="B13" s="17">
        <v>115293</v>
      </c>
      <c r="C13" s="18">
        <v>2.9835447388088285E-2</v>
      </c>
      <c r="D13" s="17">
        <v>60010</v>
      </c>
      <c r="E13" s="17">
        <v>55283</v>
      </c>
      <c r="F13" s="17">
        <v>8339</v>
      </c>
      <c r="G13" s="17">
        <v>8669</v>
      </c>
      <c r="H13" s="17">
        <v>7892</v>
      </c>
      <c r="I13" s="17">
        <v>8706</v>
      </c>
      <c r="J13" s="17">
        <v>10295</v>
      </c>
      <c r="K13" s="17">
        <v>9325</v>
      </c>
      <c r="L13" s="17">
        <v>8131</v>
      </c>
      <c r="M13" s="17">
        <v>7479</v>
      </c>
      <c r="N13" s="17">
        <v>6577</v>
      </c>
      <c r="O13" s="17">
        <v>6520</v>
      </c>
      <c r="P13" s="17">
        <v>7336</v>
      </c>
      <c r="Q13" s="17">
        <v>6472</v>
      </c>
      <c r="R13" s="17">
        <v>5469</v>
      </c>
      <c r="S13" s="17">
        <v>4510</v>
      </c>
      <c r="T13" s="17">
        <v>3510</v>
      </c>
      <c r="U13" s="17">
        <v>2623</v>
      </c>
      <c r="V13" s="17">
        <v>1974</v>
      </c>
      <c r="W13" s="17">
        <v>1466</v>
      </c>
    </row>
    <row r="14" spans="1:23" s="5" customFormat="1" ht="13.8">
      <c r="A14" s="14" t="s">
        <v>49</v>
      </c>
      <c r="B14" s="16">
        <v>229640</v>
      </c>
      <c r="C14" s="23">
        <v>5.9426089512811649E-2</v>
      </c>
      <c r="D14" s="16">
        <v>120919</v>
      </c>
      <c r="E14" s="16">
        <v>108721</v>
      </c>
      <c r="F14" s="16">
        <v>16609</v>
      </c>
      <c r="G14" s="16">
        <v>17269</v>
      </c>
      <c r="H14" s="16">
        <v>15720</v>
      </c>
      <c r="I14" s="16">
        <v>17341</v>
      </c>
      <c r="J14" s="16">
        <v>20504</v>
      </c>
      <c r="K14" s="16">
        <v>18574</v>
      </c>
      <c r="L14" s="16">
        <v>16195</v>
      </c>
      <c r="M14" s="16">
        <v>14897</v>
      </c>
      <c r="N14" s="16">
        <v>13099</v>
      </c>
      <c r="O14" s="16">
        <v>12986</v>
      </c>
      <c r="P14" s="16">
        <v>14613</v>
      </c>
      <c r="Q14" s="16">
        <v>12890</v>
      </c>
      <c r="R14" s="16">
        <v>10894</v>
      </c>
      <c r="S14" s="16">
        <v>8982</v>
      </c>
      <c r="T14" s="16">
        <v>6993</v>
      </c>
      <c r="U14" s="16">
        <v>5223</v>
      </c>
      <c r="V14" s="16">
        <v>3931</v>
      </c>
      <c r="W14" s="16">
        <v>2920</v>
      </c>
    </row>
    <row r="15" spans="1:23" s="4" customFormat="1" ht="13.8">
      <c r="A15" s="4" t="s">
        <v>50</v>
      </c>
      <c r="B15" s="17">
        <v>58248</v>
      </c>
      <c r="C15" s="18">
        <v>1.5073379471965916E-2</v>
      </c>
      <c r="D15" s="17">
        <v>29592</v>
      </c>
      <c r="E15" s="17">
        <v>28656</v>
      </c>
      <c r="F15" s="17">
        <v>4710</v>
      </c>
      <c r="G15" s="17">
        <v>5368</v>
      </c>
      <c r="H15" s="17">
        <v>5370</v>
      </c>
      <c r="I15" s="17">
        <v>5343</v>
      </c>
      <c r="J15" s="17">
        <v>5374</v>
      </c>
      <c r="K15" s="17">
        <v>4091</v>
      </c>
      <c r="L15" s="17">
        <v>3257</v>
      </c>
      <c r="M15" s="17">
        <v>3069</v>
      </c>
      <c r="N15" s="17">
        <v>2981</v>
      </c>
      <c r="O15" s="17">
        <v>3499</v>
      </c>
      <c r="P15" s="17">
        <v>3770</v>
      </c>
      <c r="Q15" s="17">
        <v>2895</v>
      </c>
      <c r="R15" s="17">
        <v>2321</v>
      </c>
      <c r="S15" s="17">
        <v>1575</v>
      </c>
      <c r="T15" s="17">
        <v>1632</v>
      </c>
      <c r="U15" s="17">
        <v>1237</v>
      </c>
      <c r="V15" s="17">
        <v>1008</v>
      </c>
      <c r="W15" s="17">
        <v>748</v>
      </c>
    </row>
    <row r="16" spans="1:23" s="5" customFormat="1" ht="13.8">
      <c r="A16" s="14" t="s">
        <v>36</v>
      </c>
      <c r="B16" s="16">
        <v>206128</v>
      </c>
      <c r="C16" s="23">
        <v>5.334166947873558E-2</v>
      </c>
      <c r="D16" s="16">
        <v>104966</v>
      </c>
      <c r="E16" s="16">
        <v>101162</v>
      </c>
      <c r="F16" s="16">
        <v>16670</v>
      </c>
      <c r="G16" s="16">
        <v>18993</v>
      </c>
      <c r="H16" s="16">
        <v>19009</v>
      </c>
      <c r="I16" s="16">
        <v>18910</v>
      </c>
      <c r="J16" s="16">
        <v>19020</v>
      </c>
      <c r="K16" s="16">
        <v>14476</v>
      </c>
      <c r="L16" s="16">
        <v>11527</v>
      </c>
      <c r="M16" s="16">
        <v>10859</v>
      </c>
      <c r="N16" s="16">
        <v>10550</v>
      </c>
      <c r="O16" s="16">
        <v>12384</v>
      </c>
      <c r="P16" s="16">
        <v>13342</v>
      </c>
      <c r="Q16" s="16">
        <v>10241</v>
      </c>
      <c r="R16" s="16">
        <v>8214</v>
      </c>
      <c r="S16" s="16">
        <v>5564</v>
      </c>
      <c r="T16" s="16">
        <v>5775</v>
      </c>
      <c r="U16" s="16">
        <v>4379</v>
      </c>
      <c r="V16" s="16">
        <v>3568</v>
      </c>
      <c r="W16" s="16">
        <v>2647</v>
      </c>
    </row>
    <row r="17" spans="1:23" s="4" customFormat="1" ht="13.8">
      <c r="A17" s="4" t="s">
        <v>51</v>
      </c>
      <c r="B17" s="17">
        <v>25023</v>
      </c>
      <c r="C17" s="18">
        <v>6.4754356291547022E-3</v>
      </c>
      <c r="D17" s="17">
        <v>12721</v>
      </c>
      <c r="E17" s="17">
        <v>12302</v>
      </c>
      <c r="F17" s="17">
        <v>2024</v>
      </c>
      <c r="G17" s="17">
        <v>2306</v>
      </c>
      <c r="H17" s="17">
        <v>2307</v>
      </c>
      <c r="I17" s="17">
        <v>2295</v>
      </c>
      <c r="J17" s="17">
        <v>2308</v>
      </c>
      <c r="K17" s="17">
        <v>1758</v>
      </c>
      <c r="L17" s="17">
        <v>1400</v>
      </c>
      <c r="M17" s="17">
        <v>1318</v>
      </c>
      <c r="N17" s="17">
        <v>1280</v>
      </c>
      <c r="O17" s="17">
        <v>1503</v>
      </c>
      <c r="P17" s="17">
        <v>1620</v>
      </c>
      <c r="Q17" s="17">
        <v>1243</v>
      </c>
      <c r="R17" s="17">
        <v>999</v>
      </c>
      <c r="S17" s="17">
        <v>676</v>
      </c>
      <c r="T17" s="17">
        <v>701</v>
      </c>
      <c r="U17" s="17">
        <v>531</v>
      </c>
      <c r="V17" s="17">
        <v>433</v>
      </c>
      <c r="W17" s="17">
        <v>321</v>
      </c>
    </row>
    <row r="18" spans="1:23" s="5" customFormat="1" ht="13.8">
      <c r="A18" s="14" t="s">
        <v>52</v>
      </c>
      <c r="B18" s="16">
        <v>25351</v>
      </c>
      <c r="C18" s="23">
        <v>6.5603152553531099E-3</v>
      </c>
      <c r="D18" s="16">
        <v>13099</v>
      </c>
      <c r="E18" s="16">
        <v>12252</v>
      </c>
      <c r="F18" s="16">
        <v>2048</v>
      </c>
      <c r="G18" s="16">
        <v>2337</v>
      </c>
      <c r="H18" s="16">
        <v>2337</v>
      </c>
      <c r="I18" s="16">
        <v>2324</v>
      </c>
      <c r="J18" s="16">
        <v>2340</v>
      </c>
      <c r="K18" s="16">
        <v>1781</v>
      </c>
      <c r="L18" s="16">
        <v>1418</v>
      </c>
      <c r="M18" s="16">
        <v>1335</v>
      </c>
      <c r="N18" s="16">
        <v>1297</v>
      </c>
      <c r="O18" s="16">
        <v>1523</v>
      </c>
      <c r="P18" s="16">
        <v>1639</v>
      </c>
      <c r="Q18" s="16">
        <v>1260</v>
      </c>
      <c r="R18" s="16">
        <v>1026</v>
      </c>
      <c r="S18" s="16">
        <v>676</v>
      </c>
      <c r="T18" s="16">
        <v>709</v>
      </c>
      <c r="U18" s="16">
        <v>538</v>
      </c>
      <c r="V18" s="16">
        <v>438</v>
      </c>
      <c r="W18" s="16">
        <v>325</v>
      </c>
    </row>
    <row r="19" spans="1:23" s="4" customFormat="1" ht="13.8">
      <c r="A19" s="4" t="s">
        <v>53</v>
      </c>
      <c r="B19" s="17">
        <v>20746</v>
      </c>
      <c r="C19" s="18">
        <v>5.3686363570492526E-3</v>
      </c>
      <c r="D19" s="17">
        <v>10461</v>
      </c>
      <c r="E19" s="17">
        <v>10285</v>
      </c>
      <c r="F19" s="17">
        <v>1661</v>
      </c>
      <c r="G19" s="17">
        <v>1857</v>
      </c>
      <c r="H19" s="17">
        <v>1798</v>
      </c>
      <c r="I19" s="17">
        <v>1871</v>
      </c>
      <c r="J19" s="17">
        <v>1961</v>
      </c>
      <c r="K19" s="17">
        <v>1545</v>
      </c>
      <c r="L19" s="17">
        <v>1308</v>
      </c>
      <c r="M19" s="17">
        <v>1194</v>
      </c>
      <c r="N19" s="17">
        <v>1142</v>
      </c>
      <c r="O19" s="17">
        <v>1200</v>
      </c>
      <c r="P19" s="17">
        <v>1232</v>
      </c>
      <c r="Q19" s="17">
        <v>1080</v>
      </c>
      <c r="R19" s="17">
        <v>938</v>
      </c>
      <c r="S19" s="17">
        <v>617</v>
      </c>
      <c r="T19" s="17">
        <v>499</v>
      </c>
      <c r="U19" s="17">
        <v>343</v>
      </c>
      <c r="V19" s="17">
        <v>314</v>
      </c>
      <c r="W19" s="17">
        <v>186</v>
      </c>
    </row>
    <row r="20" spans="1:23" s="5" customFormat="1" ht="13.8">
      <c r="A20" s="14" t="s">
        <v>54</v>
      </c>
      <c r="B20" s="16">
        <v>53121</v>
      </c>
      <c r="C20" s="23">
        <v>1.3746617753919471E-2</v>
      </c>
      <c r="D20" s="16">
        <v>28243</v>
      </c>
      <c r="E20" s="16">
        <v>24878</v>
      </c>
      <c r="F20" s="16">
        <v>4256</v>
      </c>
      <c r="G20" s="16">
        <v>4757</v>
      </c>
      <c r="H20" s="16">
        <v>4604</v>
      </c>
      <c r="I20" s="16">
        <v>4792</v>
      </c>
      <c r="J20" s="16">
        <v>5019</v>
      </c>
      <c r="K20" s="16">
        <v>3957</v>
      </c>
      <c r="L20" s="16">
        <v>3350</v>
      </c>
      <c r="M20" s="16">
        <v>3058</v>
      </c>
      <c r="N20" s="16">
        <v>2924</v>
      </c>
      <c r="O20" s="16">
        <v>3073</v>
      </c>
      <c r="P20" s="16">
        <v>3155</v>
      </c>
      <c r="Q20" s="16">
        <v>2765</v>
      </c>
      <c r="R20" s="16">
        <v>2394</v>
      </c>
      <c r="S20" s="16">
        <v>1581</v>
      </c>
      <c r="T20" s="16">
        <v>1278</v>
      </c>
      <c r="U20" s="16">
        <v>877</v>
      </c>
      <c r="V20" s="16">
        <v>805</v>
      </c>
      <c r="W20" s="16">
        <v>476</v>
      </c>
    </row>
    <row r="21" spans="1:23" s="4" customFormat="1" ht="13.8">
      <c r="A21" s="4" t="s">
        <v>55</v>
      </c>
      <c r="B21" s="17">
        <v>72124</v>
      </c>
      <c r="C21" s="18">
        <v>1.8664201707115604E-2</v>
      </c>
      <c r="D21" s="17">
        <v>38306</v>
      </c>
      <c r="E21" s="17">
        <v>33818</v>
      </c>
      <c r="F21" s="17">
        <v>5777</v>
      </c>
      <c r="G21" s="17">
        <v>6459</v>
      </c>
      <c r="H21" s="17">
        <v>6251</v>
      </c>
      <c r="I21" s="17">
        <v>6506</v>
      </c>
      <c r="J21" s="17">
        <v>6812</v>
      </c>
      <c r="K21" s="17">
        <v>5374</v>
      </c>
      <c r="L21" s="17">
        <v>4550</v>
      </c>
      <c r="M21" s="17">
        <v>4152</v>
      </c>
      <c r="N21" s="17">
        <v>3969</v>
      </c>
      <c r="O21" s="17">
        <v>4172</v>
      </c>
      <c r="P21" s="17">
        <v>4285</v>
      </c>
      <c r="Q21" s="17">
        <v>3754</v>
      </c>
      <c r="R21" s="17">
        <v>3250</v>
      </c>
      <c r="S21" s="17">
        <v>2146</v>
      </c>
      <c r="T21" s="17">
        <v>1735</v>
      </c>
      <c r="U21" s="17">
        <v>1191</v>
      </c>
      <c r="V21" s="17">
        <v>1093</v>
      </c>
      <c r="W21" s="17">
        <v>648</v>
      </c>
    </row>
    <row r="22" spans="1:23" s="5" customFormat="1" ht="13.8">
      <c r="A22" s="14" t="s">
        <v>56</v>
      </c>
      <c r="B22" s="16">
        <v>121534</v>
      </c>
      <c r="C22" s="23">
        <v>3.1450489299991509E-2</v>
      </c>
      <c r="D22" s="16">
        <v>60933</v>
      </c>
      <c r="E22" s="16">
        <v>60601</v>
      </c>
      <c r="F22" s="16">
        <v>9736</v>
      </c>
      <c r="G22" s="16">
        <v>10883</v>
      </c>
      <c r="H22" s="16">
        <v>10532</v>
      </c>
      <c r="I22" s="16">
        <v>10963</v>
      </c>
      <c r="J22" s="16">
        <v>11481</v>
      </c>
      <c r="K22" s="16">
        <v>9055</v>
      </c>
      <c r="L22" s="16">
        <v>7666</v>
      </c>
      <c r="M22" s="16">
        <v>6997</v>
      </c>
      <c r="N22" s="16">
        <v>6689</v>
      </c>
      <c r="O22" s="16">
        <v>7031</v>
      </c>
      <c r="P22" s="16">
        <v>7220</v>
      </c>
      <c r="Q22" s="16">
        <v>6327</v>
      </c>
      <c r="R22" s="16">
        <v>5477</v>
      </c>
      <c r="S22" s="16">
        <v>3615</v>
      </c>
      <c r="T22" s="16">
        <v>2923</v>
      </c>
      <c r="U22" s="16">
        <v>2007</v>
      </c>
      <c r="V22" s="16">
        <v>1841</v>
      </c>
      <c r="W22" s="16">
        <v>1091</v>
      </c>
    </row>
    <row r="23" spans="1:23" s="4" customFormat="1" ht="13.8">
      <c r="A23" s="4" t="s">
        <v>57</v>
      </c>
      <c r="B23" s="17">
        <v>200469</v>
      </c>
      <c r="C23" s="18">
        <v>5.1877237147464894E-2</v>
      </c>
      <c r="D23" s="17">
        <v>105083</v>
      </c>
      <c r="E23" s="17">
        <v>95386</v>
      </c>
      <c r="F23" s="17">
        <v>16058</v>
      </c>
      <c r="G23" s="17">
        <v>17953</v>
      </c>
      <c r="H23" s="17">
        <v>17374</v>
      </c>
      <c r="I23" s="17">
        <v>18084</v>
      </c>
      <c r="J23" s="17">
        <v>18936</v>
      </c>
      <c r="K23" s="17">
        <v>14936</v>
      </c>
      <c r="L23" s="17">
        <v>12644</v>
      </c>
      <c r="M23" s="17">
        <v>11541</v>
      </c>
      <c r="N23" s="17">
        <v>11033</v>
      </c>
      <c r="O23" s="17">
        <v>11599</v>
      </c>
      <c r="P23" s="17">
        <v>11909</v>
      </c>
      <c r="Q23" s="17">
        <v>10436</v>
      </c>
      <c r="R23" s="17">
        <v>9034</v>
      </c>
      <c r="S23" s="17">
        <v>5965</v>
      </c>
      <c r="T23" s="17">
        <v>4821</v>
      </c>
      <c r="U23" s="17">
        <v>3309</v>
      </c>
      <c r="V23" s="17">
        <v>3038</v>
      </c>
      <c r="W23" s="17">
        <v>1799</v>
      </c>
    </row>
    <row r="24" spans="1:23" s="5" customFormat="1" ht="13.8">
      <c r="A24" s="14" t="s">
        <v>58</v>
      </c>
      <c r="B24" s="16">
        <v>72798</v>
      </c>
      <c r="C24" s="23">
        <v>1.8838618987779405E-2</v>
      </c>
      <c r="D24" s="16">
        <v>36792</v>
      </c>
      <c r="E24" s="16">
        <v>36006</v>
      </c>
      <c r="F24" s="16">
        <v>5831</v>
      </c>
      <c r="G24" s="16">
        <v>6519</v>
      </c>
      <c r="H24" s="16">
        <v>6309</v>
      </c>
      <c r="I24" s="16">
        <v>6567</v>
      </c>
      <c r="J24" s="16">
        <v>6876</v>
      </c>
      <c r="K24" s="16">
        <v>5423</v>
      </c>
      <c r="L24" s="16">
        <v>4592</v>
      </c>
      <c r="M24" s="16">
        <v>4191</v>
      </c>
      <c r="N24" s="16">
        <v>4007</v>
      </c>
      <c r="O24" s="16">
        <v>4212</v>
      </c>
      <c r="P24" s="16">
        <v>4325</v>
      </c>
      <c r="Q24" s="16">
        <v>3790</v>
      </c>
      <c r="R24" s="16">
        <v>3280</v>
      </c>
      <c r="S24" s="16">
        <v>2167</v>
      </c>
      <c r="T24" s="16">
        <v>1750</v>
      </c>
      <c r="U24" s="16">
        <v>1202</v>
      </c>
      <c r="V24" s="16">
        <v>1103</v>
      </c>
      <c r="W24" s="16">
        <v>654</v>
      </c>
    </row>
    <row r="25" spans="1:23" s="4" customFormat="1" ht="13.8">
      <c r="A25" s="4" t="s">
        <v>59</v>
      </c>
      <c r="B25" s="17">
        <v>27052</v>
      </c>
      <c r="C25" s="18">
        <v>7.0004989265832641E-3</v>
      </c>
      <c r="D25" s="17">
        <v>13358</v>
      </c>
      <c r="E25" s="17">
        <v>13694</v>
      </c>
      <c r="F25" s="17">
        <v>2186</v>
      </c>
      <c r="G25" s="17">
        <v>2462</v>
      </c>
      <c r="H25" s="17">
        <v>2403</v>
      </c>
      <c r="I25" s="17">
        <v>2537</v>
      </c>
      <c r="J25" s="17">
        <v>2481</v>
      </c>
      <c r="K25" s="17">
        <v>2013</v>
      </c>
      <c r="L25" s="17">
        <v>1689</v>
      </c>
      <c r="M25" s="17">
        <v>1630</v>
      </c>
      <c r="N25" s="17">
        <v>1536</v>
      </c>
      <c r="O25" s="17">
        <v>1453</v>
      </c>
      <c r="P25" s="17">
        <v>1539</v>
      </c>
      <c r="Q25" s="17">
        <v>1474</v>
      </c>
      <c r="R25" s="17">
        <v>1110</v>
      </c>
      <c r="S25" s="17">
        <v>920</v>
      </c>
      <c r="T25" s="17">
        <v>681</v>
      </c>
      <c r="U25" s="17">
        <v>457</v>
      </c>
      <c r="V25" s="17">
        <v>292</v>
      </c>
      <c r="W25" s="17">
        <v>189</v>
      </c>
    </row>
    <row r="26" spans="1:23" s="5" customFormat="1" ht="13.8">
      <c r="A26" s="14" t="s">
        <v>60</v>
      </c>
      <c r="B26" s="16">
        <v>233189</v>
      </c>
      <c r="C26" s="23">
        <v>6.0344497419452338E-2</v>
      </c>
      <c r="D26" s="16">
        <v>123309</v>
      </c>
      <c r="E26" s="16">
        <v>109880</v>
      </c>
      <c r="F26" s="16">
        <v>18846</v>
      </c>
      <c r="G26" s="16">
        <v>21215</v>
      </c>
      <c r="H26" s="16">
        <v>20710</v>
      </c>
      <c r="I26" s="16">
        <v>21869</v>
      </c>
      <c r="J26" s="16">
        <v>21392</v>
      </c>
      <c r="K26" s="16">
        <v>17350</v>
      </c>
      <c r="L26" s="16">
        <v>14553</v>
      </c>
      <c r="M26" s="16">
        <v>14047</v>
      </c>
      <c r="N26" s="16">
        <v>13243</v>
      </c>
      <c r="O26" s="16">
        <v>12531</v>
      </c>
      <c r="P26" s="16">
        <v>13267</v>
      </c>
      <c r="Q26" s="16">
        <v>12705</v>
      </c>
      <c r="R26" s="16">
        <v>9574</v>
      </c>
      <c r="S26" s="16">
        <v>7939</v>
      </c>
      <c r="T26" s="16">
        <v>5864</v>
      </c>
      <c r="U26" s="16">
        <v>3938</v>
      </c>
      <c r="V26" s="16">
        <v>2516</v>
      </c>
      <c r="W26" s="16">
        <v>1630</v>
      </c>
    </row>
    <row r="27" spans="1:23" s="4" customFormat="1" ht="13.8">
      <c r="A27" s="4" t="s">
        <v>61</v>
      </c>
      <c r="B27" s="17">
        <v>181467</v>
      </c>
      <c r="C27" s="18">
        <v>4.695991197361693E-2</v>
      </c>
      <c r="D27" s="17">
        <v>95087</v>
      </c>
      <c r="E27" s="17">
        <v>86380</v>
      </c>
      <c r="F27" s="17">
        <v>14667</v>
      </c>
      <c r="G27" s="17">
        <v>16509</v>
      </c>
      <c r="H27" s="17">
        <v>16117</v>
      </c>
      <c r="I27" s="17">
        <v>17018</v>
      </c>
      <c r="J27" s="17">
        <v>16646</v>
      </c>
      <c r="K27" s="17">
        <v>13501</v>
      </c>
      <c r="L27" s="17">
        <v>11325</v>
      </c>
      <c r="M27" s="17">
        <v>10931</v>
      </c>
      <c r="N27" s="17">
        <v>10305</v>
      </c>
      <c r="O27" s="17">
        <v>9751</v>
      </c>
      <c r="P27" s="17">
        <v>10325</v>
      </c>
      <c r="Q27" s="17">
        <v>9887</v>
      </c>
      <c r="R27" s="17">
        <v>7450</v>
      </c>
      <c r="S27" s="17">
        <v>6181</v>
      </c>
      <c r="T27" s="17">
        <v>4564</v>
      </c>
      <c r="U27" s="17">
        <v>3065</v>
      </c>
      <c r="V27" s="17">
        <v>1957</v>
      </c>
      <c r="W27" s="17">
        <v>1268</v>
      </c>
    </row>
  </sheetData>
  <pageMargins left="0" right="0" top="0.39370000000000011" bottom="0.39370000000000011" header="0" footer="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9"/>
  <sheetViews>
    <sheetView workbookViewId="0">
      <selection activeCell="A2" sqref="A2:W9"/>
    </sheetView>
  </sheetViews>
  <sheetFormatPr defaultRowHeight="13.2"/>
  <cols>
    <col min="1" max="1024" width="12.21875" customWidth="1"/>
  </cols>
  <sheetData>
    <row r="1" spans="1:23" s="3" customFormat="1" ht="37.950000000000003" customHeight="1">
      <c r="A1" s="1" t="s">
        <v>0</v>
      </c>
      <c r="B1" s="2" t="s">
        <v>63</v>
      </c>
      <c r="C1" s="2" t="s">
        <v>62</v>
      </c>
      <c r="D1" s="2" t="s">
        <v>10</v>
      </c>
      <c r="E1" s="2" t="s">
        <v>11</v>
      </c>
      <c r="F1" s="2" t="s">
        <v>70</v>
      </c>
      <c r="G1" s="2" t="s">
        <v>14</v>
      </c>
      <c r="H1" s="2" t="s">
        <v>15</v>
      </c>
      <c r="I1" s="2" t="s">
        <v>16</v>
      </c>
      <c r="J1" s="2" t="s">
        <v>17</v>
      </c>
      <c r="K1" s="2" t="s">
        <v>18</v>
      </c>
      <c r="L1" s="2" t="s">
        <v>19</v>
      </c>
      <c r="M1" s="2" t="s">
        <v>20</v>
      </c>
      <c r="N1" s="2" t="s">
        <v>21</v>
      </c>
      <c r="O1" s="2" t="s">
        <v>22</v>
      </c>
      <c r="P1" s="2" t="s">
        <v>23</v>
      </c>
      <c r="Q1" s="2" t="s">
        <v>24</v>
      </c>
      <c r="R1" s="2" t="s">
        <v>25</v>
      </c>
      <c r="S1" s="2" t="s">
        <v>26</v>
      </c>
      <c r="T1" s="2" t="s">
        <v>27</v>
      </c>
      <c r="U1" s="2" t="s">
        <v>28</v>
      </c>
      <c r="V1" s="2" t="s">
        <v>29</v>
      </c>
      <c r="W1" s="2" t="s">
        <v>30</v>
      </c>
    </row>
    <row r="2" spans="1:23" s="4" customFormat="1" ht="13.8">
      <c r="A2" s="4" t="s">
        <v>31</v>
      </c>
      <c r="B2" s="21">
        <v>159782</v>
      </c>
      <c r="C2" s="24">
        <v>0.1426625</v>
      </c>
      <c r="D2" s="17">
        <v>80746</v>
      </c>
      <c r="E2" s="17">
        <v>79036</v>
      </c>
      <c r="F2" s="17">
        <v>19557</v>
      </c>
      <c r="G2" s="17">
        <v>28282</v>
      </c>
      <c r="H2" s="17">
        <v>21666</v>
      </c>
      <c r="I2" s="17">
        <v>18320</v>
      </c>
      <c r="J2" s="17">
        <v>13899</v>
      </c>
      <c r="K2" s="17">
        <v>11885</v>
      </c>
      <c r="L2" s="17">
        <v>9667</v>
      </c>
      <c r="M2" s="17">
        <v>9892</v>
      </c>
      <c r="N2" s="17">
        <v>8340</v>
      </c>
      <c r="O2" s="17">
        <v>5887</v>
      </c>
      <c r="P2" s="17">
        <v>4205</v>
      </c>
      <c r="Q2" s="17">
        <v>3082</v>
      </c>
      <c r="R2" s="17">
        <v>1991</v>
      </c>
      <c r="S2" s="17">
        <v>1448</v>
      </c>
      <c r="T2" s="17">
        <v>789</v>
      </c>
      <c r="U2" s="17">
        <v>476</v>
      </c>
      <c r="V2" s="17">
        <v>193</v>
      </c>
      <c r="W2" s="17">
        <v>203</v>
      </c>
    </row>
    <row r="3" spans="1:23" s="5" customFormat="1" ht="13.8">
      <c r="A3" s="14" t="s">
        <v>32</v>
      </c>
      <c r="B3" s="19">
        <v>185902</v>
      </c>
      <c r="C3" s="25">
        <v>0.16598392857142857</v>
      </c>
      <c r="D3" s="19">
        <v>96596</v>
      </c>
      <c r="E3" s="19">
        <v>89306</v>
      </c>
      <c r="F3" s="19">
        <v>23274</v>
      </c>
      <c r="G3" s="19">
        <v>33236</v>
      </c>
      <c r="H3" s="19">
        <v>26007</v>
      </c>
      <c r="I3" s="19">
        <v>21654</v>
      </c>
      <c r="J3" s="19">
        <v>16354</v>
      </c>
      <c r="K3" s="19">
        <v>13722</v>
      </c>
      <c r="L3" s="19">
        <v>10453</v>
      </c>
      <c r="M3" s="19">
        <v>10874</v>
      </c>
      <c r="N3" s="19">
        <v>9454</v>
      </c>
      <c r="O3" s="19">
        <v>6999</v>
      </c>
      <c r="P3" s="19">
        <v>4726</v>
      </c>
      <c r="Q3" s="19">
        <v>3601</v>
      </c>
      <c r="R3" s="19">
        <v>2250</v>
      </c>
      <c r="S3" s="19">
        <v>1470</v>
      </c>
      <c r="T3" s="19">
        <v>833</v>
      </c>
      <c r="U3" s="19">
        <v>556</v>
      </c>
      <c r="V3" s="19">
        <v>225</v>
      </c>
      <c r="W3" s="19">
        <v>214</v>
      </c>
    </row>
    <row r="4" spans="1:23" s="4" customFormat="1" ht="13.8">
      <c r="A4" s="4" t="s">
        <v>33</v>
      </c>
      <c r="B4" s="21">
        <v>32892</v>
      </c>
      <c r="C4" s="24">
        <v>2.9367857142857143E-2</v>
      </c>
      <c r="D4" s="21">
        <v>15657</v>
      </c>
      <c r="E4" s="21">
        <v>17235</v>
      </c>
      <c r="F4" s="21">
        <v>3745</v>
      </c>
      <c r="G4" s="21">
        <v>5382</v>
      </c>
      <c r="H4" s="21">
        <v>4327</v>
      </c>
      <c r="I4" s="21">
        <v>3288</v>
      </c>
      <c r="J4" s="21">
        <v>2847</v>
      </c>
      <c r="K4" s="21">
        <v>2916</v>
      </c>
      <c r="L4" s="21">
        <v>2444</v>
      </c>
      <c r="M4" s="21">
        <v>2579</v>
      </c>
      <c r="N4" s="21">
        <v>2126</v>
      </c>
      <c r="O4" s="21">
        <v>1264</v>
      </c>
      <c r="P4" s="21">
        <v>769</v>
      </c>
      <c r="Q4" s="21">
        <v>533</v>
      </c>
      <c r="R4" s="21">
        <v>293</v>
      </c>
      <c r="S4" s="21">
        <v>191</v>
      </c>
      <c r="T4" s="21">
        <v>94</v>
      </c>
      <c r="U4" s="21">
        <v>53</v>
      </c>
      <c r="V4" s="21">
        <v>27</v>
      </c>
      <c r="W4" s="21">
        <v>14</v>
      </c>
    </row>
    <row r="5" spans="1:23" s="5" customFormat="1" ht="13.8">
      <c r="A5" s="14" t="s">
        <v>34</v>
      </c>
      <c r="B5" s="19">
        <v>192649</v>
      </c>
      <c r="C5" s="25">
        <v>0.17200803571428572</v>
      </c>
      <c r="D5" s="19">
        <v>98595</v>
      </c>
      <c r="E5" s="19">
        <v>94054</v>
      </c>
      <c r="F5" s="19">
        <v>23330</v>
      </c>
      <c r="G5" s="19">
        <v>34823</v>
      </c>
      <c r="H5" s="19">
        <v>27508</v>
      </c>
      <c r="I5" s="19">
        <v>22254</v>
      </c>
      <c r="J5" s="19">
        <v>16676</v>
      </c>
      <c r="K5" s="19">
        <v>14024</v>
      </c>
      <c r="L5" s="19">
        <v>11036</v>
      </c>
      <c r="M5" s="19">
        <v>11762</v>
      </c>
      <c r="N5" s="19">
        <v>10219</v>
      </c>
      <c r="O5" s="19">
        <v>7258</v>
      </c>
      <c r="P5" s="19">
        <v>4942</v>
      </c>
      <c r="Q5" s="19">
        <v>3542</v>
      </c>
      <c r="R5" s="19">
        <v>2205</v>
      </c>
      <c r="S5" s="19">
        <v>1414</v>
      </c>
      <c r="T5" s="19">
        <v>759</v>
      </c>
      <c r="U5" s="19">
        <v>493</v>
      </c>
      <c r="V5" s="19">
        <v>225</v>
      </c>
      <c r="W5" s="19">
        <v>179</v>
      </c>
    </row>
    <row r="6" spans="1:23" s="4" customFormat="1" ht="13.8">
      <c r="A6" s="4" t="s">
        <v>35</v>
      </c>
      <c r="B6" s="21">
        <v>309374</v>
      </c>
      <c r="C6" s="24">
        <v>0.27622678571428572</v>
      </c>
      <c r="D6" s="21">
        <v>149452</v>
      </c>
      <c r="E6" s="21">
        <v>159922</v>
      </c>
      <c r="F6" s="21">
        <v>36768</v>
      </c>
      <c r="G6" s="21">
        <v>52451</v>
      </c>
      <c r="H6" s="21">
        <v>41612</v>
      </c>
      <c r="I6" s="21">
        <v>31539</v>
      </c>
      <c r="J6" s="21">
        <v>26221</v>
      </c>
      <c r="K6" s="21">
        <v>25624</v>
      </c>
      <c r="L6" s="21">
        <v>22333</v>
      </c>
      <c r="M6" s="21">
        <v>24474</v>
      </c>
      <c r="N6" s="21">
        <v>19469</v>
      </c>
      <c r="O6" s="21">
        <v>11557</v>
      </c>
      <c r="P6" s="21">
        <v>7071</v>
      </c>
      <c r="Q6" s="21">
        <v>4657</v>
      </c>
      <c r="R6" s="21">
        <v>2642</v>
      </c>
      <c r="S6" s="21">
        <v>1579</v>
      </c>
      <c r="T6" s="21">
        <v>751</v>
      </c>
      <c r="U6" s="21">
        <v>369</v>
      </c>
      <c r="V6" s="21">
        <v>144</v>
      </c>
      <c r="W6" s="21">
        <v>113</v>
      </c>
    </row>
    <row r="7" spans="1:23" s="5" customFormat="1" ht="13.8">
      <c r="A7" s="14" t="s">
        <v>79</v>
      </c>
      <c r="B7" s="19">
        <v>37912</v>
      </c>
      <c r="C7" s="25">
        <v>3.3850000000000005E-2</v>
      </c>
      <c r="D7" s="19">
        <v>18760</v>
      </c>
      <c r="E7" s="19">
        <v>19152</v>
      </c>
      <c r="F7" s="19">
        <v>4294</v>
      </c>
      <c r="G7" s="19">
        <v>6668</v>
      </c>
      <c r="H7" s="19">
        <v>5814</v>
      </c>
      <c r="I7" s="19">
        <v>4234</v>
      </c>
      <c r="J7" s="19">
        <v>3263</v>
      </c>
      <c r="K7" s="19">
        <v>2886</v>
      </c>
      <c r="L7" s="19">
        <v>2334</v>
      </c>
      <c r="M7" s="19">
        <v>2734</v>
      </c>
      <c r="N7" s="19">
        <v>2274</v>
      </c>
      <c r="O7" s="19">
        <v>1410</v>
      </c>
      <c r="P7" s="19">
        <v>880</v>
      </c>
      <c r="Q7" s="19">
        <v>507</v>
      </c>
      <c r="R7" s="19">
        <v>290</v>
      </c>
      <c r="S7" s="19">
        <v>168</v>
      </c>
      <c r="T7" s="19">
        <v>80</v>
      </c>
      <c r="U7" s="19">
        <v>45</v>
      </c>
      <c r="V7" s="19">
        <v>18</v>
      </c>
      <c r="W7" s="19">
        <v>13</v>
      </c>
    </row>
    <row r="8" spans="1:23" s="4" customFormat="1" ht="13.8">
      <c r="A8" s="4" t="s">
        <v>37</v>
      </c>
      <c r="B8" s="21">
        <v>126799</v>
      </c>
      <c r="C8" s="24">
        <v>0.11321339285714287</v>
      </c>
      <c r="D8" s="21">
        <v>62888</v>
      </c>
      <c r="E8" s="21">
        <v>63911</v>
      </c>
      <c r="F8" s="21">
        <v>14419</v>
      </c>
      <c r="G8" s="21">
        <v>21420</v>
      </c>
      <c r="H8" s="21">
        <v>17000</v>
      </c>
      <c r="I8" s="21">
        <v>13744</v>
      </c>
      <c r="J8" s="21">
        <v>11088</v>
      </c>
      <c r="K8" s="21">
        <v>10091</v>
      </c>
      <c r="L8" s="21">
        <v>8710</v>
      </c>
      <c r="M8" s="21">
        <v>8809</v>
      </c>
      <c r="N8" s="21">
        <v>7284</v>
      </c>
      <c r="O8" s="21">
        <v>4893</v>
      </c>
      <c r="P8" s="21">
        <v>3295</v>
      </c>
      <c r="Q8" s="21">
        <v>2374</v>
      </c>
      <c r="R8" s="21">
        <v>1592</v>
      </c>
      <c r="S8" s="21">
        <v>1009</v>
      </c>
      <c r="T8" s="21">
        <v>586</v>
      </c>
      <c r="U8" s="21">
        <v>272</v>
      </c>
      <c r="V8" s="21">
        <v>109</v>
      </c>
      <c r="W8" s="21">
        <v>104</v>
      </c>
    </row>
    <row r="9" spans="1:23" s="5" customFormat="1" ht="13.8">
      <c r="A9" s="14" t="s">
        <v>38</v>
      </c>
      <c r="B9" s="19">
        <v>74690</v>
      </c>
      <c r="C9" s="26">
        <v>6.6687500000000011E-2</v>
      </c>
      <c r="D9" s="19">
        <v>37579</v>
      </c>
      <c r="E9" s="19">
        <v>37111</v>
      </c>
      <c r="F9" s="19">
        <v>8593</v>
      </c>
      <c r="G9" s="19">
        <v>12930</v>
      </c>
      <c r="H9" s="19">
        <v>10852</v>
      </c>
      <c r="I9" s="19">
        <v>8550</v>
      </c>
      <c r="J9" s="19">
        <v>6496</v>
      </c>
      <c r="K9" s="19">
        <v>5621</v>
      </c>
      <c r="L9" s="19">
        <v>4594</v>
      </c>
      <c r="M9" s="19">
        <v>5203</v>
      </c>
      <c r="N9" s="19">
        <v>4479</v>
      </c>
      <c r="O9" s="19">
        <v>2937</v>
      </c>
      <c r="P9" s="19">
        <v>1733</v>
      </c>
      <c r="Q9" s="19">
        <v>1212</v>
      </c>
      <c r="R9" s="19">
        <v>676</v>
      </c>
      <c r="S9" s="19">
        <v>399</v>
      </c>
      <c r="T9" s="19">
        <v>212</v>
      </c>
      <c r="U9" s="19">
        <v>112</v>
      </c>
      <c r="V9" s="19">
        <v>53</v>
      </c>
      <c r="W9" s="19">
        <v>38</v>
      </c>
    </row>
  </sheetData>
  <pageMargins left="0" right="0" top="0.39370000000000011" bottom="0.39370000000000011" header="0" footer="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27"/>
  <sheetViews>
    <sheetView workbookViewId="0">
      <selection activeCell="A2" sqref="A2"/>
    </sheetView>
  </sheetViews>
  <sheetFormatPr defaultRowHeight="13.2"/>
  <cols>
    <col min="1" max="1024" width="12.21875" customWidth="1"/>
  </cols>
  <sheetData>
    <row r="1" spans="1:23" s="3" customFormat="1" ht="37.950000000000003" customHeight="1">
      <c r="A1" s="1" t="s">
        <v>80</v>
      </c>
      <c r="B1" s="2" t="s">
        <v>63</v>
      </c>
      <c r="C1" s="2" t="s">
        <v>62</v>
      </c>
      <c r="D1" s="2" t="s">
        <v>10</v>
      </c>
      <c r="E1" s="2" t="s">
        <v>11</v>
      </c>
      <c r="F1" s="2" t="s">
        <v>13</v>
      </c>
      <c r="G1" s="2" t="s">
        <v>14</v>
      </c>
      <c r="H1" s="2" t="s">
        <v>15</v>
      </c>
      <c r="I1" s="2" t="s">
        <v>16</v>
      </c>
      <c r="J1" s="2" t="s">
        <v>17</v>
      </c>
      <c r="K1" s="2" t="s">
        <v>18</v>
      </c>
      <c r="L1" s="2" t="s">
        <v>19</v>
      </c>
      <c r="M1" s="2" t="s">
        <v>20</v>
      </c>
      <c r="N1" s="2" t="s">
        <v>21</v>
      </c>
      <c r="O1" s="2" t="s">
        <v>22</v>
      </c>
      <c r="P1" s="2" t="s">
        <v>23</v>
      </c>
      <c r="Q1" s="2" t="s">
        <v>24</v>
      </c>
      <c r="R1" s="2" t="s">
        <v>25</v>
      </c>
      <c r="S1" s="2" t="s">
        <v>26</v>
      </c>
      <c r="T1" s="2" t="s">
        <v>27</v>
      </c>
      <c r="U1" s="2" t="s">
        <v>28</v>
      </c>
      <c r="V1" s="2" t="s">
        <v>29</v>
      </c>
      <c r="W1" s="2" t="s">
        <v>30</v>
      </c>
    </row>
    <row r="2" spans="1:23" s="5" customFormat="1" ht="13.8">
      <c r="A2" s="14" t="s">
        <v>31</v>
      </c>
      <c r="B2" s="27">
        <v>159782</v>
      </c>
      <c r="C2" s="26">
        <v>0.1426625</v>
      </c>
      <c r="D2" s="16">
        <v>80746</v>
      </c>
      <c r="E2" s="16">
        <v>79036</v>
      </c>
      <c r="F2" s="16">
        <v>19557</v>
      </c>
      <c r="G2" s="16">
        <v>28282</v>
      </c>
      <c r="H2" s="16">
        <v>21666</v>
      </c>
      <c r="I2" s="16">
        <v>18320</v>
      </c>
      <c r="J2" s="16">
        <v>13899</v>
      </c>
      <c r="K2" s="16">
        <v>11885</v>
      </c>
      <c r="L2" s="16">
        <v>9667</v>
      </c>
      <c r="M2" s="16">
        <v>9892</v>
      </c>
      <c r="N2" s="16">
        <v>8340</v>
      </c>
      <c r="O2" s="16">
        <v>5887</v>
      </c>
      <c r="P2" s="16">
        <v>4205</v>
      </c>
      <c r="Q2" s="16">
        <v>3082</v>
      </c>
      <c r="R2" s="16">
        <v>1991</v>
      </c>
      <c r="S2" s="16">
        <v>1448</v>
      </c>
      <c r="T2" s="16">
        <v>789</v>
      </c>
      <c r="U2" s="16">
        <v>476</v>
      </c>
      <c r="V2" s="16">
        <v>193</v>
      </c>
      <c r="W2" s="16">
        <v>203</v>
      </c>
    </row>
    <row r="3" spans="1:23" s="4" customFormat="1" ht="13.8">
      <c r="A3" s="4" t="s">
        <v>39</v>
      </c>
      <c r="B3" s="28">
        <v>152628</v>
      </c>
      <c r="C3" s="29">
        <v>0.13627500000000001</v>
      </c>
      <c r="D3" s="17">
        <v>78424</v>
      </c>
      <c r="E3" s="17">
        <v>74204</v>
      </c>
      <c r="F3" s="17">
        <v>19246</v>
      </c>
      <c r="G3" s="17">
        <v>27070</v>
      </c>
      <c r="H3" s="17">
        <v>20754</v>
      </c>
      <c r="I3" s="17">
        <v>17635</v>
      </c>
      <c r="J3" s="17">
        <v>13558</v>
      </c>
      <c r="K3" s="17">
        <v>11515</v>
      </c>
      <c r="L3" s="17">
        <v>8775</v>
      </c>
      <c r="M3" s="17">
        <v>8981</v>
      </c>
      <c r="N3" s="17">
        <v>7759</v>
      </c>
      <c r="O3" s="17">
        <v>5729</v>
      </c>
      <c r="P3" s="17">
        <v>3946</v>
      </c>
      <c r="Q3" s="17">
        <v>3028</v>
      </c>
      <c r="R3" s="17">
        <v>1917</v>
      </c>
      <c r="S3" s="17">
        <v>1204</v>
      </c>
      <c r="T3" s="17">
        <v>659</v>
      </c>
      <c r="U3" s="17">
        <v>468</v>
      </c>
      <c r="V3" s="17">
        <v>189</v>
      </c>
      <c r="W3" s="17">
        <v>195</v>
      </c>
    </row>
    <row r="4" spans="1:23" s="5" customFormat="1" ht="13.8">
      <c r="A4" s="14" t="s">
        <v>40</v>
      </c>
      <c r="B4" s="27">
        <v>33274</v>
      </c>
      <c r="C4" s="26">
        <v>2.970892857142857E-2</v>
      </c>
      <c r="D4" s="16">
        <v>18172</v>
      </c>
      <c r="E4" s="16">
        <v>15102</v>
      </c>
      <c r="F4" s="16">
        <v>4028</v>
      </c>
      <c r="G4" s="16">
        <v>6166</v>
      </c>
      <c r="H4" s="16">
        <v>5253</v>
      </c>
      <c r="I4" s="16">
        <v>4019</v>
      </c>
      <c r="J4" s="16">
        <v>2796</v>
      </c>
      <c r="K4" s="16">
        <v>2207</v>
      </c>
      <c r="L4" s="16">
        <v>1678</v>
      </c>
      <c r="M4" s="16">
        <v>1893</v>
      </c>
      <c r="N4" s="16">
        <v>1695</v>
      </c>
      <c r="O4" s="16">
        <v>1270</v>
      </c>
      <c r="P4" s="16">
        <v>780</v>
      </c>
      <c r="Q4" s="16">
        <v>573</v>
      </c>
      <c r="R4" s="16">
        <v>333</v>
      </c>
      <c r="S4" s="16">
        <v>266</v>
      </c>
      <c r="T4" s="16">
        <v>174</v>
      </c>
      <c r="U4" s="16">
        <v>88</v>
      </c>
      <c r="V4" s="16">
        <v>36</v>
      </c>
      <c r="W4" s="16">
        <v>19</v>
      </c>
    </row>
    <row r="5" spans="1:23" s="4" customFormat="1" ht="13.8">
      <c r="A5" s="4" t="s">
        <v>33</v>
      </c>
      <c r="B5" s="28">
        <v>32892</v>
      </c>
      <c r="C5" s="29">
        <v>2.9367857142857143E-2</v>
      </c>
      <c r="D5" s="17">
        <v>15657</v>
      </c>
      <c r="E5" s="17">
        <v>17235</v>
      </c>
      <c r="F5" s="17">
        <v>3745</v>
      </c>
      <c r="G5" s="17">
        <v>5382</v>
      </c>
      <c r="H5" s="17">
        <v>4327</v>
      </c>
      <c r="I5" s="17">
        <v>3288</v>
      </c>
      <c r="J5" s="17">
        <v>2847</v>
      </c>
      <c r="K5" s="17">
        <v>2916</v>
      </c>
      <c r="L5" s="17">
        <v>2444</v>
      </c>
      <c r="M5" s="17">
        <v>2579</v>
      </c>
      <c r="N5" s="17">
        <v>2126</v>
      </c>
      <c r="O5" s="17">
        <v>1264</v>
      </c>
      <c r="P5" s="17">
        <v>769</v>
      </c>
      <c r="Q5" s="17">
        <v>533</v>
      </c>
      <c r="R5" s="17">
        <v>293</v>
      </c>
      <c r="S5" s="17">
        <v>191</v>
      </c>
      <c r="T5" s="17">
        <v>94</v>
      </c>
      <c r="U5" s="17">
        <v>53</v>
      </c>
      <c r="V5" s="17">
        <v>27</v>
      </c>
      <c r="W5" s="17">
        <v>14</v>
      </c>
    </row>
    <row r="6" spans="1:23" s="5" customFormat="1" ht="13.8">
      <c r="A6" s="14" t="s">
        <v>41</v>
      </c>
      <c r="B6" s="27">
        <v>4031</v>
      </c>
      <c r="C6" s="26">
        <v>3.599107142857143E-3</v>
      </c>
      <c r="D6" s="16">
        <v>2020</v>
      </c>
      <c r="E6" s="16">
        <v>2011</v>
      </c>
      <c r="F6" s="16">
        <v>422</v>
      </c>
      <c r="G6" s="16">
        <v>666</v>
      </c>
      <c r="H6" s="16">
        <v>545</v>
      </c>
      <c r="I6" s="16">
        <v>467</v>
      </c>
      <c r="J6" s="16">
        <v>347</v>
      </c>
      <c r="K6" s="16">
        <v>326</v>
      </c>
      <c r="L6" s="16">
        <v>266</v>
      </c>
      <c r="M6" s="16">
        <v>281</v>
      </c>
      <c r="N6" s="16">
        <v>240</v>
      </c>
      <c r="O6" s="16">
        <v>165</v>
      </c>
      <c r="P6" s="16">
        <v>117</v>
      </c>
      <c r="Q6" s="16">
        <v>83</v>
      </c>
      <c r="R6" s="16">
        <v>48</v>
      </c>
      <c r="S6" s="16">
        <v>27</v>
      </c>
      <c r="T6" s="16">
        <v>16</v>
      </c>
      <c r="U6" s="16">
        <v>9</v>
      </c>
      <c r="V6" s="16">
        <v>4</v>
      </c>
      <c r="W6" s="16">
        <v>2</v>
      </c>
    </row>
    <row r="7" spans="1:23" s="4" customFormat="1" ht="13.8">
      <c r="A7" s="4" t="s">
        <v>42</v>
      </c>
      <c r="B7" s="28">
        <v>52586</v>
      </c>
      <c r="C7" s="29">
        <v>4.6951785714285717E-2</v>
      </c>
      <c r="D7" s="17">
        <v>26716</v>
      </c>
      <c r="E7" s="17">
        <v>25870</v>
      </c>
      <c r="F7" s="17">
        <v>6393</v>
      </c>
      <c r="G7" s="17">
        <v>9183</v>
      </c>
      <c r="H7" s="17">
        <v>7426</v>
      </c>
      <c r="I7" s="17">
        <v>6259</v>
      </c>
      <c r="J7" s="17">
        <v>4688</v>
      </c>
      <c r="K7" s="17">
        <v>3785</v>
      </c>
      <c r="L7" s="17">
        <v>3008</v>
      </c>
      <c r="M7" s="17">
        <v>3224</v>
      </c>
      <c r="N7" s="17">
        <v>2844</v>
      </c>
      <c r="O7" s="17">
        <v>2029</v>
      </c>
      <c r="P7" s="17">
        <v>1356</v>
      </c>
      <c r="Q7" s="17">
        <v>994</v>
      </c>
      <c r="R7" s="17">
        <v>593</v>
      </c>
      <c r="S7" s="17">
        <v>378</v>
      </c>
      <c r="T7" s="17">
        <v>194</v>
      </c>
      <c r="U7" s="17">
        <v>124</v>
      </c>
      <c r="V7" s="17">
        <v>58</v>
      </c>
      <c r="W7" s="17">
        <v>50</v>
      </c>
    </row>
    <row r="8" spans="1:23" s="5" customFormat="1" ht="13.8">
      <c r="A8" s="14" t="s">
        <v>43</v>
      </c>
      <c r="B8" s="27">
        <v>136032</v>
      </c>
      <c r="C8" s="26">
        <v>0.12145714285714286</v>
      </c>
      <c r="D8" s="16">
        <v>69859</v>
      </c>
      <c r="E8" s="16">
        <v>66173</v>
      </c>
      <c r="F8" s="16">
        <v>16515</v>
      </c>
      <c r="G8" s="16">
        <v>24974</v>
      </c>
      <c r="H8" s="16">
        <v>19537</v>
      </c>
      <c r="I8" s="16">
        <v>15528</v>
      </c>
      <c r="J8" s="16">
        <v>11641</v>
      </c>
      <c r="K8" s="16">
        <v>9913</v>
      </c>
      <c r="L8" s="16">
        <v>7762</v>
      </c>
      <c r="M8" s="16">
        <v>8257</v>
      </c>
      <c r="N8" s="16">
        <v>7135</v>
      </c>
      <c r="O8" s="16">
        <v>5064</v>
      </c>
      <c r="P8" s="16">
        <v>3469</v>
      </c>
      <c r="Q8" s="16">
        <v>2465</v>
      </c>
      <c r="R8" s="16">
        <v>1564</v>
      </c>
      <c r="S8" s="16">
        <v>1009</v>
      </c>
      <c r="T8" s="16">
        <v>549</v>
      </c>
      <c r="U8" s="16">
        <v>360</v>
      </c>
      <c r="V8" s="16">
        <v>163</v>
      </c>
      <c r="W8" s="16">
        <v>127</v>
      </c>
    </row>
    <row r="9" spans="1:23" s="4" customFormat="1" ht="13.8">
      <c r="A9" s="4" t="s">
        <v>44</v>
      </c>
      <c r="B9" s="28">
        <v>67499</v>
      </c>
      <c r="C9" s="29">
        <v>6.0266964285714285E-2</v>
      </c>
      <c r="D9" s="17">
        <v>32974</v>
      </c>
      <c r="E9" s="17">
        <v>34525</v>
      </c>
      <c r="F9" s="17">
        <v>7880</v>
      </c>
      <c r="G9" s="17">
        <v>11490</v>
      </c>
      <c r="H9" s="17">
        <v>9273</v>
      </c>
      <c r="I9" s="17">
        <v>7001</v>
      </c>
      <c r="J9" s="17">
        <v>5581</v>
      </c>
      <c r="K9" s="17">
        <v>5560</v>
      </c>
      <c r="L9" s="17">
        <v>4785</v>
      </c>
      <c r="M9" s="17">
        <v>5321</v>
      </c>
      <c r="N9" s="17">
        <v>4142</v>
      </c>
      <c r="O9" s="17">
        <v>2562</v>
      </c>
      <c r="P9" s="17">
        <v>1604</v>
      </c>
      <c r="Q9" s="17">
        <v>1010</v>
      </c>
      <c r="R9" s="17">
        <v>628</v>
      </c>
      <c r="S9" s="17">
        <v>373</v>
      </c>
      <c r="T9" s="17">
        <v>151</v>
      </c>
      <c r="U9" s="17">
        <v>72</v>
      </c>
      <c r="V9" s="17">
        <v>37</v>
      </c>
      <c r="W9" s="17">
        <v>29</v>
      </c>
    </row>
    <row r="10" spans="1:23" s="5" customFormat="1" ht="13.8">
      <c r="A10" s="14" t="s">
        <v>45</v>
      </c>
      <c r="B10" s="27">
        <v>112767</v>
      </c>
      <c r="C10" s="26">
        <v>0.10068482142857142</v>
      </c>
      <c r="D10" s="16">
        <v>54691</v>
      </c>
      <c r="E10" s="16">
        <v>58076</v>
      </c>
      <c r="F10" s="16">
        <v>14164</v>
      </c>
      <c r="G10" s="16">
        <v>19850</v>
      </c>
      <c r="H10" s="16">
        <v>15682</v>
      </c>
      <c r="I10" s="16">
        <v>11646</v>
      </c>
      <c r="J10" s="16">
        <v>9863</v>
      </c>
      <c r="K10" s="16">
        <v>9246</v>
      </c>
      <c r="L10" s="16">
        <v>7682</v>
      </c>
      <c r="M10" s="16">
        <v>8441</v>
      </c>
      <c r="N10" s="16">
        <v>6719</v>
      </c>
      <c r="O10" s="16">
        <v>3891</v>
      </c>
      <c r="P10" s="16">
        <v>2321</v>
      </c>
      <c r="Q10" s="16">
        <v>1573</v>
      </c>
      <c r="R10" s="16">
        <v>795</v>
      </c>
      <c r="S10" s="16">
        <v>471</v>
      </c>
      <c r="T10" s="16">
        <v>238</v>
      </c>
      <c r="U10" s="16">
        <v>107</v>
      </c>
      <c r="V10" s="16">
        <v>40</v>
      </c>
      <c r="W10" s="16">
        <v>38</v>
      </c>
    </row>
    <row r="11" spans="1:23" s="4" customFormat="1" ht="13.8">
      <c r="A11" s="4" t="s">
        <v>46</v>
      </c>
      <c r="B11" s="28">
        <v>46686</v>
      </c>
      <c r="C11" s="29">
        <v>4.1683928571428573E-2</v>
      </c>
      <c r="D11" s="17">
        <v>22965</v>
      </c>
      <c r="E11" s="17">
        <v>23721</v>
      </c>
      <c r="F11" s="17">
        <v>5110</v>
      </c>
      <c r="G11" s="17">
        <v>7813</v>
      </c>
      <c r="H11" s="17">
        <v>6617</v>
      </c>
      <c r="I11" s="17">
        <v>5256</v>
      </c>
      <c r="J11" s="17">
        <v>3956</v>
      </c>
      <c r="K11" s="17">
        <v>3478</v>
      </c>
      <c r="L11" s="17">
        <v>3160</v>
      </c>
      <c r="M11" s="17">
        <v>3454</v>
      </c>
      <c r="N11" s="17">
        <v>3044</v>
      </c>
      <c r="O11" s="17">
        <v>1860</v>
      </c>
      <c r="P11" s="17">
        <v>1175</v>
      </c>
      <c r="Q11" s="17">
        <v>772</v>
      </c>
      <c r="R11" s="17">
        <v>480</v>
      </c>
      <c r="S11" s="17">
        <v>264</v>
      </c>
      <c r="T11" s="17">
        <v>129</v>
      </c>
      <c r="U11" s="17">
        <v>72</v>
      </c>
      <c r="V11" s="17">
        <v>31</v>
      </c>
      <c r="W11" s="17">
        <v>15</v>
      </c>
    </row>
    <row r="12" spans="1:23" s="5" customFormat="1" ht="13.8">
      <c r="A12" s="14" t="s">
        <v>47</v>
      </c>
      <c r="B12" s="27">
        <v>52252</v>
      </c>
      <c r="C12" s="26">
        <v>4.6653571428571426E-2</v>
      </c>
      <c r="D12" s="16">
        <v>24563</v>
      </c>
      <c r="E12" s="16">
        <v>27689</v>
      </c>
      <c r="F12" s="16">
        <v>6234</v>
      </c>
      <c r="G12" s="16">
        <v>8340</v>
      </c>
      <c r="H12" s="16">
        <v>6073</v>
      </c>
      <c r="I12" s="16">
        <v>4661</v>
      </c>
      <c r="J12" s="16">
        <v>4411</v>
      </c>
      <c r="K12" s="16">
        <v>4823</v>
      </c>
      <c r="L12" s="16">
        <v>4241</v>
      </c>
      <c r="M12" s="16">
        <v>4654</v>
      </c>
      <c r="N12" s="16">
        <v>3503</v>
      </c>
      <c r="O12" s="16">
        <v>2027</v>
      </c>
      <c r="P12" s="16">
        <v>1249</v>
      </c>
      <c r="Q12" s="16">
        <v>883</v>
      </c>
      <c r="R12" s="16">
        <v>512</v>
      </c>
      <c r="S12" s="16">
        <v>336</v>
      </c>
      <c r="T12" s="16">
        <v>168</v>
      </c>
      <c r="U12" s="16">
        <v>87</v>
      </c>
      <c r="V12" s="16">
        <v>28</v>
      </c>
      <c r="W12" s="16">
        <v>22</v>
      </c>
    </row>
    <row r="13" spans="1:23" s="4" customFormat="1" ht="13.8">
      <c r="A13" s="4" t="s">
        <v>48</v>
      </c>
      <c r="B13" s="28">
        <v>10733</v>
      </c>
      <c r="C13" s="29">
        <v>9.5830357142857141E-3</v>
      </c>
      <c r="D13" s="17">
        <v>5173</v>
      </c>
      <c r="E13" s="17">
        <v>5560</v>
      </c>
      <c r="F13" s="17">
        <v>1187</v>
      </c>
      <c r="G13" s="17">
        <v>1790</v>
      </c>
      <c r="H13" s="17">
        <v>1493</v>
      </c>
      <c r="I13" s="17">
        <v>1156</v>
      </c>
      <c r="J13" s="17">
        <v>854</v>
      </c>
      <c r="K13" s="17">
        <v>840</v>
      </c>
      <c r="L13" s="17">
        <v>784</v>
      </c>
      <c r="M13" s="17">
        <v>891</v>
      </c>
      <c r="N13" s="17">
        <v>740</v>
      </c>
      <c r="O13" s="17">
        <v>438</v>
      </c>
      <c r="P13" s="17">
        <v>268</v>
      </c>
      <c r="Q13" s="17">
        <v>135</v>
      </c>
      <c r="R13" s="17">
        <v>79</v>
      </c>
      <c r="S13" s="17">
        <v>38</v>
      </c>
      <c r="T13" s="17">
        <v>21</v>
      </c>
      <c r="U13" s="17">
        <v>11</v>
      </c>
      <c r="V13" s="17">
        <v>5</v>
      </c>
      <c r="W13" s="17">
        <v>3</v>
      </c>
    </row>
    <row r="14" spans="1:23" s="5" customFormat="1" ht="13.8">
      <c r="A14" s="14" t="s">
        <v>49</v>
      </c>
      <c r="B14" s="27">
        <v>19437</v>
      </c>
      <c r="C14" s="26">
        <v>1.7354464285714286E-2</v>
      </c>
      <c r="D14" s="16">
        <v>9086</v>
      </c>
      <c r="E14" s="16">
        <v>10351</v>
      </c>
      <c r="F14" s="16">
        <v>2193</v>
      </c>
      <c r="G14" s="16">
        <v>3168</v>
      </c>
      <c r="H14" s="16">
        <v>2474</v>
      </c>
      <c r="I14" s="16">
        <v>1819</v>
      </c>
      <c r="J14" s="16">
        <v>1556</v>
      </c>
      <c r="K14" s="16">
        <v>1677</v>
      </c>
      <c r="L14" s="16">
        <v>1681</v>
      </c>
      <c r="M14" s="16">
        <v>1713</v>
      </c>
      <c r="N14" s="16">
        <v>1321</v>
      </c>
      <c r="O14" s="16">
        <v>779</v>
      </c>
      <c r="P14" s="16">
        <v>454</v>
      </c>
      <c r="Q14" s="16">
        <v>284</v>
      </c>
      <c r="R14" s="16">
        <v>148</v>
      </c>
      <c r="S14" s="16">
        <v>97</v>
      </c>
      <c r="T14" s="16">
        <v>44</v>
      </c>
      <c r="U14" s="16">
        <v>20</v>
      </c>
      <c r="V14" s="16">
        <v>3</v>
      </c>
      <c r="W14" s="16">
        <v>6</v>
      </c>
    </row>
    <row r="15" spans="1:23" s="4" customFormat="1" ht="13.8">
      <c r="A15" s="4" t="s">
        <v>50</v>
      </c>
      <c r="B15" s="28">
        <v>6966</v>
      </c>
      <c r="C15" s="29">
        <v>6.2196428571428567E-3</v>
      </c>
      <c r="D15" s="17">
        <v>3392</v>
      </c>
      <c r="E15" s="17">
        <v>3574</v>
      </c>
      <c r="F15" s="17">
        <v>830</v>
      </c>
      <c r="G15" s="17">
        <v>1263</v>
      </c>
      <c r="H15" s="17">
        <v>1086</v>
      </c>
      <c r="I15" s="17">
        <v>776</v>
      </c>
      <c r="J15" s="17">
        <v>576</v>
      </c>
      <c r="K15" s="17">
        <v>512</v>
      </c>
      <c r="L15" s="17">
        <v>407</v>
      </c>
      <c r="M15" s="17">
        <v>508</v>
      </c>
      <c r="N15" s="17">
        <v>443</v>
      </c>
      <c r="O15" s="17">
        <v>261</v>
      </c>
      <c r="P15" s="17">
        <v>139</v>
      </c>
      <c r="Q15" s="17">
        <v>69</v>
      </c>
      <c r="R15" s="17">
        <v>44</v>
      </c>
      <c r="S15" s="17">
        <v>24</v>
      </c>
      <c r="T15" s="17">
        <v>12</v>
      </c>
      <c r="U15" s="17">
        <v>13</v>
      </c>
      <c r="V15" s="17">
        <v>2</v>
      </c>
      <c r="W15" s="17">
        <v>1</v>
      </c>
    </row>
    <row r="16" spans="1:23" s="5" customFormat="1" ht="13.8">
      <c r="A16" s="14" t="s">
        <v>36</v>
      </c>
      <c r="B16" s="27">
        <v>21676</v>
      </c>
      <c r="C16" s="26">
        <v>1.9353571428571428E-2</v>
      </c>
      <c r="D16" s="16">
        <v>10711</v>
      </c>
      <c r="E16" s="16">
        <v>10965</v>
      </c>
      <c r="F16" s="16">
        <v>2470</v>
      </c>
      <c r="G16" s="16">
        <v>3794</v>
      </c>
      <c r="H16" s="16">
        <v>3221</v>
      </c>
      <c r="I16" s="16">
        <v>2381</v>
      </c>
      <c r="J16" s="16">
        <v>1918</v>
      </c>
      <c r="K16" s="16">
        <v>1691</v>
      </c>
      <c r="L16" s="16">
        <v>1367</v>
      </c>
      <c r="M16" s="16">
        <v>1602</v>
      </c>
      <c r="N16" s="16">
        <v>1280</v>
      </c>
      <c r="O16" s="16">
        <v>794</v>
      </c>
      <c r="P16" s="16">
        <v>518</v>
      </c>
      <c r="Q16" s="16">
        <v>295</v>
      </c>
      <c r="R16" s="16">
        <v>167</v>
      </c>
      <c r="S16" s="16">
        <v>92</v>
      </c>
      <c r="T16" s="16">
        <v>46</v>
      </c>
      <c r="U16" s="16">
        <v>19</v>
      </c>
      <c r="V16" s="16">
        <v>12</v>
      </c>
      <c r="W16" s="16">
        <v>9</v>
      </c>
    </row>
    <row r="17" spans="1:23" s="4" customFormat="1" ht="13.8">
      <c r="A17" s="4" t="s">
        <v>51</v>
      </c>
      <c r="B17" s="28">
        <v>3479</v>
      </c>
      <c r="C17" s="29">
        <v>3.1062500000000001E-3</v>
      </c>
      <c r="D17" s="17">
        <v>1751</v>
      </c>
      <c r="E17" s="17">
        <v>1728</v>
      </c>
      <c r="F17" s="17">
        <v>365</v>
      </c>
      <c r="G17" s="17">
        <v>562</v>
      </c>
      <c r="H17" s="17">
        <v>555</v>
      </c>
      <c r="I17" s="17">
        <v>405</v>
      </c>
      <c r="J17" s="17">
        <v>252</v>
      </c>
      <c r="K17" s="17">
        <v>262</v>
      </c>
      <c r="L17" s="17">
        <v>238</v>
      </c>
      <c r="M17" s="17">
        <v>246</v>
      </c>
      <c r="N17" s="17">
        <v>232</v>
      </c>
      <c r="O17" s="17">
        <v>143</v>
      </c>
      <c r="P17" s="17">
        <v>96</v>
      </c>
      <c r="Q17" s="17">
        <v>51</v>
      </c>
      <c r="R17" s="17">
        <v>30</v>
      </c>
      <c r="S17" s="17">
        <v>20</v>
      </c>
      <c r="T17" s="17">
        <v>12</v>
      </c>
      <c r="U17" s="17">
        <v>7</v>
      </c>
      <c r="V17" s="17">
        <v>1</v>
      </c>
      <c r="W17" s="17">
        <v>2</v>
      </c>
    </row>
    <row r="18" spans="1:23" s="5" customFormat="1" ht="13.8">
      <c r="A18" s="14" t="s">
        <v>52</v>
      </c>
      <c r="B18" s="27">
        <v>5791</v>
      </c>
      <c r="C18" s="26">
        <v>5.1705357142857143E-3</v>
      </c>
      <c r="D18" s="16">
        <v>2906</v>
      </c>
      <c r="E18" s="16">
        <v>2885</v>
      </c>
      <c r="F18" s="16">
        <v>629</v>
      </c>
      <c r="G18" s="16">
        <v>1049</v>
      </c>
      <c r="H18" s="16">
        <v>952</v>
      </c>
      <c r="I18" s="16">
        <v>672</v>
      </c>
      <c r="J18" s="16">
        <v>517</v>
      </c>
      <c r="K18" s="16">
        <v>421</v>
      </c>
      <c r="L18" s="16">
        <v>322</v>
      </c>
      <c r="M18" s="16">
        <v>378</v>
      </c>
      <c r="N18" s="16">
        <v>319</v>
      </c>
      <c r="O18" s="16">
        <v>212</v>
      </c>
      <c r="P18" s="16">
        <v>127</v>
      </c>
      <c r="Q18" s="16">
        <v>92</v>
      </c>
      <c r="R18" s="16">
        <v>49</v>
      </c>
      <c r="S18" s="16">
        <v>32</v>
      </c>
      <c r="T18" s="16">
        <v>10</v>
      </c>
      <c r="U18" s="16">
        <v>6</v>
      </c>
      <c r="V18" s="16">
        <v>3</v>
      </c>
      <c r="W18" s="16">
        <v>1</v>
      </c>
    </row>
    <row r="19" spans="1:23" s="4" customFormat="1" ht="13.8">
      <c r="A19" s="4" t="s">
        <v>53</v>
      </c>
      <c r="B19" s="28">
        <v>1191</v>
      </c>
      <c r="C19" s="29">
        <v>1.0633928571428572E-3</v>
      </c>
      <c r="D19" s="17">
        <v>557</v>
      </c>
      <c r="E19" s="17">
        <v>634</v>
      </c>
      <c r="F19" s="17">
        <v>145</v>
      </c>
      <c r="G19" s="17">
        <v>190</v>
      </c>
      <c r="H19" s="17">
        <v>178</v>
      </c>
      <c r="I19" s="17">
        <v>133</v>
      </c>
      <c r="J19" s="17">
        <v>94</v>
      </c>
      <c r="K19" s="17">
        <v>85</v>
      </c>
      <c r="L19" s="17">
        <v>77</v>
      </c>
      <c r="M19" s="17">
        <v>98</v>
      </c>
      <c r="N19" s="17">
        <v>90</v>
      </c>
      <c r="O19" s="17">
        <v>40</v>
      </c>
      <c r="P19" s="17">
        <v>28</v>
      </c>
      <c r="Q19" s="17">
        <v>14</v>
      </c>
      <c r="R19" s="17">
        <v>9</v>
      </c>
      <c r="S19" s="17">
        <v>4</v>
      </c>
      <c r="T19" s="17">
        <v>3</v>
      </c>
      <c r="U19" s="17">
        <v>2</v>
      </c>
      <c r="V19" s="17">
        <v>0</v>
      </c>
      <c r="W19" s="17">
        <v>1</v>
      </c>
    </row>
    <row r="20" spans="1:23" s="5" customFormat="1" ht="13.8">
      <c r="A20" s="14" t="s">
        <v>54</v>
      </c>
      <c r="B20" s="27">
        <v>12163</v>
      </c>
      <c r="C20" s="26">
        <v>1.0859821428571429E-2</v>
      </c>
      <c r="D20" s="16">
        <v>5929</v>
      </c>
      <c r="E20" s="16">
        <v>6234</v>
      </c>
      <c r="F20" s="16">
        <v>1403</v>
      </c>
      <c r="G20" s="16">
        <v>2128</v>
      </c>
      <c r="H20" s="16">
        <v>1701</v>
      </c>
      <c r="I20" s="16">
        <v>1293</v>
      </c>
      <c r="J20" s="16">
        <v>986</v>
      </c>
      <c r="K20" s="16">
        <v>906</v>
      </c>
      <c r="L20" s="16">
        <v>833</v>
      </c>
      <c r="M20" s="16">
        <v>973</v>
      </c>
      <c r="N20" s="16">
        <v>786</v>
      </c>
      <c r="O20" s="16">
        <v>497</v>
      </c>
      <c r="P20" s="16">
        <v>299</v>
      </c>
      <c r="Q20" s="16">
        <v>168</v>
      </c>
      <c r="R20" s="16">
        <v>78</v>
      </c>
      <c r="S20" s="16">
        <v>50</v>
      </c>
      <c r="T20" s="16">
        <v>34</v>
      </c>
      <c r="U20" s="16">
        <v>19</v>
      </c>
      <c r="V20" s="16">
        <v>5</v>
      </c>
      <c r="W20" s="16">
        <v>4</v>
      </c>
    </row>
    <row r="21" spans="1:23" s="4" customFormat="1" ht="13.8">
      <c r="A21" s="4" t="s">
        <v>55</v>
      </c>
      <c r="B21" s="28">
        <v>16985</v>
      </c>
      <c r="C21" s="29">
        <v>1.5165178571428571E-2</v>
      </c>
      <c r="D21" s="17">
        <v>8372</v>
      </c>
      <c r="E21" s="17">
        <v>8613</v>
      </c>
      <c r="F21" s="17">
        <v>1987</v>
      </c>
      <c r="G21" s="17">
        <v>2972</v>
      </c>
      <c r="H21" s="17">
        <v>2254</v>
      </c>
      <c r="I21" s="17">
        <v>1758</v>
      </c>
      <c r="J21" s="17">
        <v>1381</v>
      </c>
      <c r="K21" s="17">
        <v>1417</v>
      </c>
      <c r="L21" s="17">
        <v>1230</v>
      </c>
      <c r="M21" s="17">
        <v>1253</v>
      </c>
      <c r="N21" s="17">
        <v>974</v>
      </c>
      <c r="O21" s="17">
        <v>639</v>
      </c>
      <c r="P21" s="17">
        <v>428</v>
      </c>
      <c r="Q21" s="17">
        <v>293</v>
      </c>
      <c r="R21" s="17">
        <v>192</v>
      </c>
      <c r="S21" s="17">
        <v>95</v>
      </c>
      <c r="T21" s="17">
        <v>58</v>
      </c>
      <c r="U21" s="17">
        <v>30</v>
      </c>
      <c r="V21" s="17">
        <v>13</v>
      </c>
      <c r="W21" s="17">
        <v>11</v>
      </c>
    </row>
    <row r="22" spans="1:23" s="5" customFormat="1" ht="13.8">
      <c r="A22" s="14" t="s">
        <v>56</v>
      </c>
      <c r="B22" s="27">
        <v>44509</v>
      </c>
      <c r="C22" s="26">
        <v>3.9740178571428572E-2</v>
      </c>
      <c r="D22" s="16">
        <v>22243</v>
      </c>
      <c r="E22" s="16">
        <v>22266</v>
      </c>
      <c r="F22" s="16">
        <v>5178</v>
      </c>
      <c r="G22" s="16">
        <v>7818</v>
      </c>
      <c r="H22" s="16">
        <v>6018</v>
      </c>
      <c r="I22" s="16">
        <v>4967</v>
      </c>
      <c r="J22" s="16">
        <v>3885</v>
      </c>
      <c r="K22" s="16">
        <v>3469</v>
      </c>
      <c r="L22" s="16">
        <v>2893</v>
      </c>
      <c r="M22" s="16">
        <v>2944</v>
      </c>
      <c r="N22" s="16">
        <v>2439</v>
      </c>
      <c r="O22" s="16">
        <v>1682</v>
      </c>
      <c r="P22" s="16">
        <v>1104</v>
      </c>
      <c r="Q22" s="16">
        <v>808</v>
      </c>
      <c r="R22" s="16">
        <v>558</v>
      </c>
      <c r="S22" s="16">
        <v>355</v>
      </c>
      <c r="T22" s="16">
        <v>206</v>
      </c>
      <c r="U22" s="16">
        <v>97</v>
      </c>
      <c r="V22" s="16">
        <v>44</v>
      </c>
      <c r="W22" s="16">
        <v>44</v>
      </c>
    </row>
    <row r="23" spans="1:23" s="4" customFormat="1" ht="13.8">
      <c r="A23" s="4" t="s">
        <v>57</v>
      </c>
      <c r="B23" s="28">
        <v>38419</v>
      </c>
      <c r="C23" s="29">
        <v>3.4302678571428574E-2</v>
      </c>
      <c r="D23" s="17">
        <v>18994</v>
      </c>
      <c r="E23" s="17">
        <v>19425</v>
      </c>
      <c r="F23" s="17">
        <v>4059</v>
      </c>
      <c r="G23" s="17">
        <v>5900</v>
      </c>
      <c r="H23" s="17">
        <v>4941</v>
      </c>
      <c r="I23" s="17">
        <v>4121</v>
      </c>
      <c r="J23" s="17">
        <v>3601</v>
      </c>
      <c r="K23" s="17">
        <v>3230</v>
      </c>
      <c r="L23" s="17">
        <v>2799</v>
      </c>
      <c r="M23" s="17">
        <v>2588</v>
      </c>
      <c r="N23" s="17">
        <v>2199</v>
      </c>
      <c r="O23" s="17">
        <v>1529</v>
      </c>
      <c r="P23" s="17">
        <v>1115</v>
      </c>
      <c r="Q23" s="17">
        <v>885</v>
      </c>
      <c r="R23" s="17">
        <v>621</v>
      </c>
      <c r="S23" s="17">
        <v>425</v>
      </c>
      <c r="T23" s="17">
        <v>235</v>
      </c>
      <c r="U23" s="17">
        <v>97</v>
      </c>
      <c r="V23" s="17">
        <v>37</v>
      </c>
      <c r="W23" s="17">
        <v>37</v>
      </c>
    </row>
    <row r="24" spans="1:23" s="5" customFormat="1" ht="13.8">
      <c r="A24" s="14" t="s">
        <v>58</v>
      </c>
      <c r="B24" s="27">
        <v>13532</v>
      </c>
      <c r="C24" s="26">
        <v>1.2082142857142857E-2</v>
      </c>
      <c r="D24" s="16">
        <v>6793</v>
      </c>
      <c r="E24" s="16">
        <v>6739</v>
      </c>
      <c r="F24" s="16">
        <v>1647</v>
      </c>
      <c r="G24" s="16">
        <v>2412</v>
      </c>
      <c r="H24" s="16">
        <v>1908</v>
      </c>
      <c r="I24" s="16">
        <v>1472</v>
      </c>
      <c r="J24" s="16">
        <v>1141</v>
      </c>
      <c r="K24" s="16">
        <v>984</v>
      </c>
      <c r="L24" s="16">
        <v>878</v>
      </c>
      <c r="M24" s="16">
        <v>953</v>
      </c>
      <c r="N24" s="16">
        <v>796</v>
      </c>
      <c r="O24" s="16">
        <v>506</v>
      </c>
      <c r="P24" s="16">
        <v>321</v>
      </c>
      <c r="Q24" s="16">
        <v>206</v>
      </c>
      <c r="R24" s="16">
        <v>134</v>
      </c>
      <c r="S24" s="16">
        <v>80</v>
      </c>
      <c r="T24" s="16">
        <v>50</v>
      </c>
      <c r="U24" s="16">
        <v>27</v>
      </c>
      <c r="V24" s="16">
        <v>10</v>
      </c>
      <c r="W24" s="16">
        <v>7</v>
      </c>
    </row>
    <row r="25" spans="1:23" s="4" customFormat="1" ht="13.8">
      <c r="A25" s="4" t="s">
        <v>59</v>
      </c>
      <c r="B25" s="28">
        <v>2675</v>
      </c>
      <c r="C25" s="29">
        <v>2.3883928571428572E-3</v>
      </c>
      <c r="D25" s="17">
        <v>1300</v>
      </c>
      <c r="E25" s="17">
        <v>1375</v>
      </c>
      <c r="F25" s="17">
        <v>285</v>
      </c>
      <c r="G25" s="17">
        <v>472</v>
      </c>
      <c r="H25" s="17">
        <v>414</v>
      </c>
      <c r="I25" s="17">
        <v>315</v>
      </c>
      <c r="J25" s="17">
        <v>206</v>
      </c>
      <c r="K25" s="17">
        <v>164</v>
      </c>
      <c r="L25" s="17">
        <v>156</v>
      </c>
      <c r="M25" s="17">
        <v>219</v>
      </c>
      <c r="N25" s="17">
        <v>171</v>
      </c>
      <c r="O25" s="17">
        <v>143</v>
      </c>
      <c r="P25" s="17">
        <v>41</v>
      </c>
      <c r="Q25" s="17">
        <v>42</v>
      </c>
      <c r="R25" s="17">
        <v>21</v>
      </c>
      <c r="S25" s="17">
        <v>13</v>
      </c>
      <c r="T25" s="17">
        <v>6</v>
      </c>
      <c r="U25" s="17">
        <v>5</v>
      </c>
      <c r="V25" s="17">
        <v>2</v>
      </c>
      <c r="W25" s="17">
        <v>0</v>
      </c>
    </row>
    <row r="26" spans="1:23" s="5" customFormat="1" ht="13.8">
      <c r="A26" s="14" t="s">
        <v>60</v>
      </c>
      <c r="B26" s="27">
        <v>44492</v>
      </c>
      <c r="C26" s="26">
        <v>3.9725000000000003E-2</v>
      </c>
      <c r="D26" s="16">
        <v>22353</v>
      </c>
      <c r="E26" s="16">
        <v>22139</v>
      </c>
      <c r="F26" s="16">
        <v>5096</v>
      </c>
      <c r="G26" s="16">
        <v>7653</v>
      </c>
      <c r="H26" s="16">
        <v>6430</v>
      </c>
      <c r="I26" s="16">
        <v>5070</v>
      </c>
      <c r="J26" s="16">
        <v>3892</v>
      </c>
      <c r="K26" s="16">
        <v>3341</v>
      </c>
      <c r="L26" s="16">
        <v>2744</v>
      </c>
      <c r="M26" s="16">
        <v>3080</v>
      </c>
      <c r="N26" s="16">
        <v>2690</v>
      </c>
      <c r="O26" s="16">
        <v>1757</v>
      </c>
      <c r="P26" s="16">
        <v>1073</v>
      </c>
      <c r="Q26" s="16">
        <v>735</v>
      </c>
      <c r="R26" s="16">
        <v>405</v>
      </c>
      <c r="S26" s="16">
        <v>262</v>
      </c>
      <c r="T26" s="16">
        <v>141</v>
      </c>
      <c r="U26" s="16">
        <v>68</v>
      </c>
      <c r="V26" s="16">
        <v>30</v>
      </c>
      <c r="W26" s="16">
        <v>25</v>
      </c>
    </row>
    <row r="27" spans="1:23" s="4" customFormat="1" ht="13.8">
      <c r="A27" s="4" t="s">
        <v>61</v>
      </c>
      <c r="B27" s="28">
        <v>27523</v>
      </c>
      <c r="C27" s="29">
        <v>2.4574107142857144E-2</v>
      </c>
      <c r="D27" s="17">
        <v>13926</v>
      </c>
      <c r="E27" s="17">
        <v>13597</v>
      </c>
      <c r="F27" s="17">
        <v>3212</v>
      </c>
      <c r="G27" s="17">
        <v>4805</v>
      </c>
      <c r="H27" s="17">
        <v>4008</v>
      </c>
      <c r="I27" s="17">
        <v>3165</v>
      </c>
      <c r="J27" s="17">
        <v>2398</v>
      </c>
      <c r="K27" s="17">
        <v>2116</v>
      </c>
      <c r="L27" s="17">
        <v>1694</v>
      </c>
      <c r="M27" s="17">
        <v>1904</v>
      </c>
      <c r="N27" s="17">
        <v>1618</v>
      </c>
      <c r="O27" s="17">
        <v>1037</v>
      </c>
      <c r="P27" s="17">
        <v>619</v>
      </c>
      <c r="Q27" s="17">
        <v>435</v>
      </c>
      <c r="R27" s="17">
        <v>250</v>
      </c>
      <c r="S27" s="17">
        <v>124</v>
      </c>
      <c r="T27" s="17">
        <v>65</v>
      </c>
      <c r="U27" s="17">
        <v>39</v>
      </c>
      <c r="V27" s="17">
        <v>21</v>
      </c>
      <c r="W27" s="17">
        <v>13</v>
      </c>
    </row>
  </sheetData>
  <pageMargins left="0" right="0" top="0.39370000000000011" bottom="0.39370000000000011" header="0" footer="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9"/>
  <sheetViews>
    <sheetView workbookViewId="0">
      <selection activeCell="A2" sqref="A2:AC9"/>
    </sheetView>
  </sheetViews>
  <sheetFormatPr defaultRowHeight="13.2"/>
  <cols>
    <col min="1" max="1024" width="12.21875" customWidth="1"/>
  </cols>
  <sheetData>
    <row r="1" spans="1:30" s="3" customFormat="1" ht="39" customHeight="1">
      <c r="A1" s="30" t="s">
        <v>0</v>
      </c>
      <c r="B1" s="31" t="s">
        <v>64</v>
      </c>
      <c r="C1" s="31" t="s">
        <v>65</v>
      </c>
      <c r="D1" s="31" t="s">
        <v>66</v>
      </c>
      <c r="E1" s="31" t="s">
        <v>67</v>
      </c>
      <c r="F1" s="31" t="s">
        <v>68</v>
      </c>
      <c r="G1" s="31" t="s">
        <v>69</v>
      </c>
      <c r="H1" s="31" t="s">
        <v>4</v>
      </c>
      <c r="I1" s="31" t="s">
        <v>62</v>
      </c>
      <c r="J1" s="31" t="s">
        <v>7</v>
      </c>
      <c r="K1" s="31" t="s">
        <v>8</v>
      </c>
      <c r="L1" s="31" t="s">
        <v>71</v>
      </c>
      <c r="M1" s="31" t="s">
        <v>14</v>
      </c>
      <c r="N1" s="31" t="s">
        <v>15</v>
      </c>
      <c r="O1" s="31" t="s">
        <v>16</v>
      </c>
      <c r="P1" s="31" t="s">
        <v>17</v>
      </c>
      <c r="Q1" s="31" t="s">
        <v>18</v>
      </c>
      <c r="R1" s="31" t="s">
        <v>19</v>
      </c>
      <c r="S1" s="31" t="s">
        <v>20</v>
      </c>
      <c r="T1" s="31" t="s">
        <v>21</v>
      </c>
      <c r="U1" s="31" t="s">
        <v>22</v>
      </c>
      <c r="V1" s="31" t="s">
        <v>23</v>
      </c>
      <c r="W1" s="31" t="s">
        <v>24</v>
      </c>
      <c r="X1" s="31" t="s">
        <v>25</v>
      </c>
      <c r="Y1" s="31" t="s">
        <v>26</v>
      </c>
      <c r="Z1" s="31" t="s">
        <v>27</v>
      </c>
      <c r="AA1" s="31" t="s">
        <v>28</v>
      </c>
      <c r="AB1" s="31" t="s">
        <v>29</v>
      </c>
      <c r="AC1" s="31" t="s">
        <v>30</v>
      </c>
    </row>
    <row r="2" spans="1:30" s="4" customFormat="1" ht="13.8">
      <c r="A2" s="4" t="s">
        <v>31</v>
      </c>
      <c r="B2" s="13">
        <v>25733</v>
      </c>
      <c r="C2" s="13"/>
      <c r="D2" s="17">
        <v>25733</v>
      </c>
      <c r="E2" s="13">
        <v>1383</v>
      </c>
      <c r="F2" s="17"/>
      <c r="G2" s="13">
        <v>1383</v>
      </c>
      <c r="H2" s="32">
        <v>27116</v>
      </c>
      <c r="I2" s="33">
        <v>0.12062760519771699</v>
      </c>
      <c r="J2" s="13">
        <v>13933</v>
      </c>
      <c r="K2" s="13">
        <v>13183</v>
      </c>
      <c r="L2" s="13">
        <v>2198</v>
      </c>
      <c r="M2" s="13">
        <v>3120</v>
      </c>
      <c r="N2" s="13">
        <v>3345</v>
      </c>
      <c r="O2" s="13">
        <v>2729</v>
      </c>
      <c r="P2" s="13">
        <v>2156</v>
      </c>
      <c r="Q2" s="13">
        <v>1997</v>
      </c>
      <c r="R2" s="13">
        <v>1945</v>
      </c>
      <c r="S2" s="13">
        <v>1784</v>
      </c>
      <c r="T2" s="13">
        <v>1557</v>
      </c>
      <c r="U2" s="13">
        <v>1250</v>
      </c>
      <c r="V2" s="13">
        <v>1187</v>
      </c>
      <c r="W2" s="13">
        <v>1106</v>
      </c>
      <c r="X2" s="13">
        <v>1039</v>
      </c>
      <c r="Y2" s="13">
        <v>706</v>
      </c>
      <c r="Z2" s="13">
        <v>427</v>
      </c>
      <c r="AA2" s="13">
        <v>236</v>
      </c>
      <c r="AB2" s="13">
        <v>204</v>
      </c>
      <c r="AC2" s="13">
        <v>130</v>
      </c>
      <c r="AD2" s="6"/>
    </row>
    <row r="3" spans="1:30" s="5" customFormat="1" ht="13.8">
      <c r="A3" s="4" t="s">
        <v>32</v>
      </c>
      <c r="B3" s="13">
        <v>1822</v>
      </c>
      <c r="C3" s="13">
        <v>1256</v>
      </c>
      <c r="D3" s="17">
        <v>3078</v>
      </c>
      <c r="E3" s="13">
        <v>518</v>
      </c>
      <c r="F3" s="17">
        <v>733</v>
      </c>
      <c r="G3" s="13">
        <v>1251</v>
      </c>
      <c r="H3" s="32">
        <v>4329</v>
      </c>
      <c r="I3" s="34">
        <v>1.9257888438594072E-2</v>
      </c>
      <c r="J3" s="13">
        <v>2376</v>
      </c>
      <c r="K3" s="13">
        <v>1953</v>
      </c>
      <c r="L3" s="13">
        <v>234</v>
      </c>
      <c r="M3" s="13">
        <v>370</v>
      </c>
      <c r="N3" s="13">
        <v>434</v>
      </c>
      <c r="O3" s="13">
        <v>444</v>
      </c>
      <c r="P3" s="13">
        <v>339</v>
      </c>
      <c r="Q3" s="13">
        <v>320</v>
      </c>
      <c r="R3" s="13">
        <v>274</v>
      </c>
      <c r="S3" s="13">
        <v>280</v>
      </c>
      <c r="T3" s="13">
        <v>270</v>
      </c>
      <c r="U3" s="13">
        <v>240</v>
      </c>
      <c r="V3" s="13">
        <v>258</v>
      </c>
      <c r="W3" s="13">
        <v>241</v>
      </c>
      <c r="X3" s="13">
        <v>251</v>
      </c>
      <c r="Y3" s="13">
        <v>143</v>
      </c>
      <c r="Z3" s="13">
        <v>101</v>
      </c>
      <c r="AA3" s="13">
        <v>56</v>
      </c>
      <c r="AB3" s="13">
        <v>40</v>
      </c>
      <c r="AC3" s="13">
        <v>34</v>
      </c>
      <c r="AD3" s="7"/>
    </row>
    <row r="4" spans="1:30" s="4" customFormat="1" ht="13.8">
      <c r="A4" s="4" t="s">
        <v>33</v>
      </c>
      <c r="B4" s="13">
        <v>445</v>
      </c>
      <c r="C4" s="13">
        <v>6207</v>
      </c>
      <c r="D4" s="17">
        <v>6652</v>
      </c>
      <c r="E4" s="13">
        <v>87</v>
      </c>
      <c r="F4" s="17">
        <v>432</v>
      </c>
      <c r="G4" s="13">
        <v>519</v>
      </c>
      <c r="H4" s="32">
        <v>7171</v>
      </c>
      <c r="I4" s="34">
        <v>3.1900743357162878E-2</v>
      </c>
      <c r="J4" s="13">
        <v>3593</v>
      </c>
      <c r="K4" s="13">
        <v>3578</v>
      </c>
      <c r="L4" s="13">
        <v>407</v>
      </c>
      <c r="M4" s="13">
        <v>644</v>
      </c>
      <c r="N4" s="13">
        <v>756</v>
      </c>
      <c r="O4" s="13">
        <v>645</v>
      </c>
      <c r="P4" s="13">
        <v>314</v>
      </c>
      <c r="Q4" s="13">
        <v>324</v>
      </c>
      <c r="R4" s="13">
        <v>314</v>
      </c>
      <c r="S4" s="13">
        <v>400</v>
      </c>
      <c r="T4" s="13">
        <v>418</v>
      </c>
      <c r="U4" s="13">
        <v>409</v>
      </c>
      <c r="V4" s="13">
        <v>382</v>
      </c>
      <c r="W4" s="13">
        <v>355</v>
      </c>
      <c r="X4" s="13">
        <v>483</v>
      </c>
      <c r="Y4" s="13">
        <v>449</v>
      </c>
      <c r="Z4" s="13">
        <v>329</v>
      </c>
      <c r="AA4" s="13">
        <v>244</v>
      </c>
      <c r="AB4" s="13">
        <v>171</v>
      </c>
      <c r="AC4" s="13">
        <v>127</v>
      </c>
      <c r="AD4" s="6"/>
    </row>
    <row r="5" spans="1:30" s="5" customFormat="1" ht="13.8">
      <c r="A5" s="4" t="s">
        <v>34</v>
      </c>
      <c r="B5" s="13"/>
      <c r="C5" s="13">
        <v>7519</v>
      </c>
      <c r="D5" s="17">
        <v>7519</v>
      </c>
      <c r="E5" s="13"/>
      <c r="F5" s="17">
        <v>2976</v>
      </c>
      <c r="G5" s="13">
        <v>2976</v>
      </c>
      <c r="H5" s="32">
        <v>10495</v>
      </c>
      <c r="I5" s="34">
        <v>4.668781223447558E-2</v>
      </c>
      <c r="J5" s="13">
        <v>5475</v>
      </c>
      <c r="K5" s="13">
        <v>5020</v>
      </c>
      <c r="L5" s="13">
        <v>719</v>
      </c>
      <c r="M5" s="13">
        <v>1113</v>
      </c>
      <c r="N5" s="13">
        <v>1094</v>
      </c>
      <c r="O5" s="13">
        <v>1085</v>
      </c>
      <c r="P5" s="13">
        <v>746</v>
      </c>
      <c r="Q5" s="13">
        <v>714</v>
      </c>
      <c r="R5" s="13">
        <v>769</v>
      </c>
      <c r="S5" s="13">
        <v>674</v>
      </c>
      <c r="T5" s="13">
        <v>647</v>
      </c>
      <c r="U5" s="13">
        <v>545</v>
      </c>
      <c r="V5" s="13">
        <v>522</v>
      </c>
      <c r="W5" s="13">
        <v>509</v>
      </c>
      <c r="X5" s="13">
        <v>513</v>
      </c>
      <c r="Y5" s="13">
        <v>338</v>
      </c>
      <c r="Z5" s="13">
        <v>217</v>
      </c>
      <c r="AA5" s="13">
        <v>120</v>
      </c>
      <c r="AB5" s="13">
        <v>104</v>
      </c>
      <c r="AC5" s="13">
        <v>66</v>
      </c>
      <c r="AD5" s="7"/>
    </row>
    <row r="6" spans="1:30" s="4" customFormat="1" ht="13.8">
      <c r="A6" s="4" t="s">
        <v>35</v>
      </c>
      <c r="B6" s="13"/>
      <c r="C6" s="13">
        <v>2657</v>
      </c>
      <c r="D6" s="17">
        <v>2657</v>
      </c>
      <c r="E6" s="13"/>
      <c r="F6" s="17">
        <v>404</v>
      </c>
      <c r="G6" s="13">
        <v>404</v>
      </c>
      <c r="H6" s="32">
        <v>3061</v>
      </c>
      <c r="I6" s="34">
        <v>1.3617093211027132E-2</v>
      </c>
      <c r="J6" s="13">
        <v>1523</v>
      </c>
      <c r="K6" s="13">
        <v>1538</v>
      </c>
      <c r="L6" s="13">
        <v>213</v>
      </c>
      <c r="M6" s="13">
        <v>313</v>
      </c>
      <c r="N6" s="13">
        <v>385</v>
      </c>
      <c r="O6" s="13">
        <v>294</v>
      </c>
      <c r="P6" s="13">
        <v>140</v>
      </c>
      <c r="Q6" s="13">
        <v>148</v>
      </c>
      <c r="R6" s="13">
        <v>169</v>
      </c>
      <c r="S6" s="13">
        <v>184</v>
      </c>
      <c r="T6" s="13">
        <v>153</v>
      </c>
      <c r="U6" s="13">
        <v>135</v>
      </c>
      <c r="V6" s="13">
        <v>148</v>
      </c>
      <c r="W6" s="13">
        <v>121</v>
      </c>
      <c r="X6" s="13">
        <v>209</v>
      </c>
      <c r="Y6" s="13">
        <v>180</v>
      </c>
      <c r="Z6" s="13">
        <v>117</v>
      </c>
      <c r="AA6" s="13">
        <v>67</v>
      </c>
      <c r="AB6" s="13">
        <v>48</v>
      </c>
      <c r="AC6" s="13">
        <v>37</v>
      </c>
      <c r="AD6" s="6"/>
    </row>
    <row r="7" spans="1:30" s="5" customFormat="1" ht="13.8">
      <c r="A7" s="4" t="s">
        <v>79</v>
      </c>
      <c r="B7" s="13">
        <v>13370</v>
      </c>
      <c r="C7" s="13">
        <v>22380</v>
      </c>
      <c r="D7" s="17">
        <v>35750</v>
      </c>
      <c r="E7" s="13">
        <v>1966</v>
      </c>
      <c r="F7" s="17">
        <v>3331</v>
      </c>
      <c r="G7" s="13">
        <v>5297</v>
      </c>
      <c r="H7" s="32">
        <v>41047</v>
      </c>
      <c r="I7" s="34">
        <v>0.18260072689742918</v>
      </c>
      <c r="J7" s="13">
        <v>21099</v>
      </c>
      <c r="K7" s="13">
        <v>19948</v>
      </c>
      <c r="L7" s="13">
        <v>2539</v>
      </c>
      <c r="M7" s="13">
        <v>3915</v>
      </c>
      <c r="N7" s="13">
        <v>4261</v>
      </c>
      <c r="O7" s="13">
        <v>4184</v>
      </c>
      <c r="P7" s="13">
        <v>2572</v>
      </c>
      <c r="Q7" s="13">
        <v>2364</v>
      </c>
      <c r="R7" s="13">
        <v>2364</v>
      </c>
      <c r="S7" s="13">
        <v>2471</v>
      </c>
      <c r="T7" s="13">
        <v>2338</v>
      </c>
      <c r="U7" s="13">
        <v>2239</v>
      </c>
      <c r="V7" s="13">
        <v>2103</v>
      </c>
      <c r="W7" s="13">
        <v>1943</v>
      </c>
      <c r="X7" s="13">
        <v>2456</v>
      </c>
      <c r="Y7" s="13">
        <v>1957</v>
      </c>
      <c r="Z7" s="13">
        <v>1218</v>
      </c>
      <c r="AA7" s="13">
        <v>924</v>
      </c>
      <c r="AB7" s="13">
        <v>749</v>
      </c>
      <c r="AC7" s="13">
        <v>450</v>
      </c>
      <c r="AD7" s="7"/>
    </row>
    <row r="8" spans="1:30" s="4" customFormat="1" ht="13.8">
      <c r="A8" s="4" t="s">
        <v>37</v>
      </c>
      <c r="B8" s="13">
        <v>13486</v>
      </c>
      <c r="C8" s="13">
        <v>5017</v>
      </c>
      <c r="D8" s="17">
        <v>18503</v>
      </c>
      <c r="E8" s="13">
        <v>1606</v>
      </c>
      <c r="F8" s="17">
        <v>772</v>
      </c>
      <c r="G8" s="13">
        <v>2378</v>
      </c>
      <c r="H8" s="32">
        <v>20881</v>
      </c>
      <c r="I8" s="34">
        <v>9.2890729611060943E-2</v>
      </c>
      <c r="J8" s="13">
        <v>10810</v>
      </c>
      <c r="K8" s="13">
        <v>10071</v>
      </c>
      <c r="L8" s="13">
        <v>1492</v>
      </c>
      <c r="M8" s="13">
        <v>2018</v>
      </c>
      <c r="N8" s="13">
        <v>2306</v>
      </c>
      <c r="O8" s="13">
        <v>2067</v>
      </c>
      <c r="P8" s="13">
        <v>1573</v>
      </c>
      <c r="Q8" s="13">
        <v>1467</v>
      </c>
      <c r="R8" s="13">
        <v>1419</v>
      </c>
      <c r="S8" s="13">
        <v>1327</v>
      </c>
      <c r="T8" s="13">
        <v>1232</v>
      </c>
      <c r="U8" s="13">
        <v>1081</v>
      </c>
      <c r="V8" s="13">
        <v>1071</v>
      </c>
      <c r="W8" s="13">
        <v>996</v>
      </c>
      <c r="X8" s="13">
        <v>1023</v>
      </c>
      <c r="Y8" s="13">
        <v>673</v>
      </c>
      <c r="Z8" s="13">
        <v>451</v>
      </c>
      <c r="AA8" s="13">
        <v>310</v>
      </c>
      <c r="AB8" s="13">
        <v>250</v>
      </c>
      <c r="AC8" s="13">
        <v>125</v>
      </c>
      <c r="AD8" s="6"/>
    </row>
    <row r="9" spans="1:30" s="5" customFormat="1" ht="13.8">
      <c r="A9" s="4" t="s">
        <v>38</v>
      </c>
      <c r="B9" s="13">
        <v>57179</v>
      </c>
      <c r="C9" s="13">
        <v>44065</v>
      </c>
      <c r="D9" s="17">
        <v>101244</v>
      </c>
      <c r="E9" s="13">
        <v>5620</v>
      </c>
      <c r="F9" s="17">
        <v>3827</v>
      </c>
      <c r="G9" s="13">
        <v>9447</v>
      </c>
      <c r="H9" s="32">
        <v>110691</v>
      </c>
      <c r="I9" s="34">
        <v>0.49241740105253323</v>
      </c>
      <c r="J9" s="13">
        <v>58380</v>
      </c>
      <c r="K9" s="13">
        <v>52311</v>
      </c>
      <c r="L9" s="13">
        <v>7513</v>
      </c>
      <c r="M9" s="13">
        <v>10823</v>
      </c>
      <c r="N9" s="13">
        <v>11348</v>
      </c>
      <c r="O9" s="13">
        <v>10809</v>
      </c>
      <c r="P9" s="13">
        <v>7880</v>
      </c>
      <c r="Q9" s="13">
        <v>7376</v>
      </c>
      <c r="R9" s="13">
        <v>7534</v>
      </c>
      <c r="S9" s="13">
        <v>6997</v>
      </c>
      <c r="T9" s="13">
        <v>5982</v>
      </c>
      <c r="U9" s="13">
        <v>5667</v>
      </c>
      <c r="V9" s="13">
        <v>5618</v>
      </c>
      <c r="W9" s="13">
        <v>5761</v>
      </c>
      <c r="X9" s="13">
        <v>6177</v>
      </c>
      <c r="Y9" s="13">
        <v>4180</v>
      </c>
      <c r="Z9" s="13">
        <v>2758</v>
      </c>
      <c r="AA9" s="13">
        <v>1804</v>
      </c>
      <c r="AB9" s="13">
        <v>1489</v>
      </c>
      <c r="AC9" s="13">
        <v>975</v>
      </c>
      <c r="AD9" s="7"/>
    </row>
  </sheetData>
  <pageMargins left="0" right="0" top="0.39370000000000011" bottom="0.39370000000000011" header="0" footer="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7"/>
  <sheetViews>
    <sheetView workbookViewId="0">
      <selection activeCell="A2" sqref="A2:AC27"/>
    </sheetView>
  </sheetViews>
  <sheetFormatPr defaultRowHeight="13.2"/>
  <cols>
    <col min="1" max="1024" width="12.21875" customWidth="1"/>
  </cols>
  <sheetData>
    <row r="1" spans="1:29" s="3" customFormat="1" ht="39" customHeight="1">
      <c r="A1" s="1" t="s">
        <v>0</v>
      </c>
      <c r="B1" s="2" t="s">
        <v>64</v>
      </c>
      <c r="C1" s="2" t="s">
        <v>65</v>
      </c>
      <c r="D1" s="2" t="s">
        <v>66</v>
      </c>
      <c r="E1" s="2" t="s">
        <v>67</v>
      </c>
      <c r="F1" s="2" t="s">
        <v>68</v>
      </c>
      <c r="G1" s="2" t="s">
        <v>69</v>
      </c>
      <c r="H1" s="2" t="s">
        <v>4</v>
      </c>
      <c r="I1" s="2" t="s">
        <v>62</v>
      </c>
      <c r="J1" s="2" t="s">
        <v>7</v>
      </c>
      <c r="K1" s="2" t="s">
        <v>8</v>
      </c>
      <c r="L1" s="2" t="s">
        <v>13</v>
      </c>
      <c r="M1" s="2" t="s">
        <v>14</v>
      </c>
      <c r="N1" s="2" t="s">
        <v>15</v>
      </c>
      <c r="O1" s="2" t="s">
        <v>16</v>
      </c>
      <c r="P1" s="2" t="s">
        <v>17</v>
      </c>
      <c r="Q1" s="2" t="s">
        <v>18</v>
      </c>
      <c r="R1" s="2" t="s">
        <v>19</v>
      </c>
      <c r="S1" s="2" t="s">
        <v>20</v>
      </c>
      <c r="T1" s="2" t="s">
        <v>21</v>
      </c>
      <c r="U1" s="2" t="s">
        <v>22</v>
      </c>
      <c r="V1" s="2" t="s">
        <v>23</v>
      </c>
      <c r="W1" s="2" t="s">
        <v>24</v>
      </c>
      <c r="X1" s="2" t="s">
        <v>25</v>
      </c>
      <c r="Y1" s="2" t="s">
        <v>26</v>
      </c>
      <c r="Z1" s="2" t="s">
        <v>27</v>
      </c>
      <c r="AA1" s="2" t="s">
        <v>28</v>
      </c>
      <c r="AB1" s="2" t="s">
        <v>29</v>
      </c>
      <c r="AC1" s="2" t="s">
        <v>30</v>
      </c>
    </row>
    <row r="2" spans="1:29" s="5" customFormat="1" ht="13.8">
      <c r="A2" s="14" t="s">
        <v>31</v>
      </c>
      <c r="B2" s="16">
        <v>25733</v>
      </c>
      <c r="C2" s="16"/>
      <c r="D2" s="16">
        <v>25733</v>
      </c>
      <c r="E2" s="16">
        <v>1383</v>
      </c>
      <c r="F2" s="16"/>
      <c r="G2" s="16">
        <v>1383</v>
      </c>
      <c r="H2" s="16">
        <v>27116</v>
      </c>
      <c r="I2" s="23">
        <v>0.12062760519771699</v>
      </c>
      <c r="J2" s="15">
        <v>13933</v>
      </c>
      <c r="K2" s="15">
        <v>13183</v>
      </c>
      <c r="L2" s="15">
        <v>2198</v>
      </c>
      <c r="M2" s="15">
        <v>3120</v>
      </c>
      <c r="N2" s="15">
        <v>3345</v>
      </c>
      <c r="O2" s="15">
        <v>2729</v>
      </c>
      <c r="P2" s="15">
        <v>2156</v>
      </c>
      <c r="Q2" s="15">
        <v>1997</v>
      </c>
      <c r="R2" s="15">
        <v>1945</v>
      </c>
      <c r="S2" s="15">
        <v>1784</v>
      </c>
      <c r="T2" s="15">
        <v>1557</v>
      </c>
      <c r="U2" s="15">
        <v>1250</v>
      </c>
      <c r="V2" s="15">
        <v>1187</v>
      </c>
      <c r="W2" s="15">
        <v>1106</v>
      </c>
      <c r="X2" s="15">
        <v>1039</v>
      </c>
      <c r="Y2" s="15">
        <v>706</v>
      </c>
      <c r="Z2" s="15">
        <v>427</v>
      </c>
      <c r="AA2" s="15">
        <v>236</v>
      </c>
      <c r="AB2" s="15">
        <v>204</v>
      </c>
      <c r="AC2" s="15">
        <v>130</v>
      </c>
    </row>
    <row r="3" spans="1:29" s="4" customFormat="1" ht="13.8">
      <c r="A3" s="4" t="s">
        <v>39</v>
      </c>
      <c r="B3" s="17">
        <v>1822</v>
      </c>
      <c r="C3" s="17">
        <v>1256</v>
      </c>
      <c r="D3" s="17">
        <v>3078</v>
      </c>
      <c r="E3" s="17">
        <v>518</v>
      </c>
      <c r="F3" s="17">
        <v>733</v>
      </c>
      <c r="G3" s="17">
        <v>1251</v>
      </c>
      <c r="H3" s="17">
        <v>4329</v>
      </c>
      <c r="I3" s="18">
        <v>1.9257888438594072E-2</v>
      </c>
      <c r="J3" s="13">
        <v>2376</v>
      </c>
      <c r="K3" s="13">
        <v>1953</v>
      </c>
      <c r="L3" s="13">
        <v>234</v>
      </c>
      <c r="M3" s="13">
        <v>370</v>
      </c>
      <c r="N3" s="13">
        <v>434</v>
      </c>
      <c r="O3" s="13">
        <v>444</v>
      </c>
      <c r="P3" s="13">
        <v>339</v>
      </c>
      <c r="Q3" s="13">
        <v>320</v>
      </c>
      <c r="R3" s="13">
        <v>274</v>
      </c>
      <c r="S3" s="13">
        <v>280</v>
      </c>
      <c r="T3" s="13">
        <v>270</v>
      </c>
      <c r="U3" s="13">
        <v>240</v>
      </c>
      <c r="V3" s="13">
        <v>258</v>
      </c>
      <c r="W3" s="13">
        <v>241</v>
      </c>
      <c r="X3" s="13">
        <v>251</v>
      </c>
      <c r="Y3" s="13">
        <v>143</v>
      </c>
      <c r="Z3" s="13">
        <v>101</v>
      </c>
      <c r="AA3" s="13">
        <v>56</v>
      </c>
      <c r="AB3" s="13">
        <v>40</v>
      </c>
      <c r="AC3" s="13">
        <v>34</v>
      </c>
    </row>
    <row r="4" spans="1:29" s="5" customFormat="1" ht="13.8">
      <c r="A4" s="14" t="s">
        <v>40</v>
      </c>
      <c r="B4" s="16"/>
      <c r="C4" s="16"/>
      <c r="D4" s="16">
        <v>0</v>
      </c>
      <c r="E4" s="16"/>
      <c r="F4" s="16"/>
      <c r="G4" s="16">
        <v>0</v>
      </c>
      <c r="H4" s="16">
        <v>0</v>
      </c>
      <c r="I4" s="23">
        <v>0</v>
      </c>
      <c r="J4" s="15"/>
      <c r="K4" s="15"/>
      <c r="L4" s="15"/>
      <c r="M4" s="15"/>
      <c r="N4" s="15"/>
      <c r="O4" s="15"/>
      <c r="P4" s="15"/>
      <c r="Q4" s="15"/>
      <c r="R4" s="15"/>
      <c r="S4" s="15"/>
      <c r="T4" s="15"/>
      <c r="U4" s="15"/>
      <c r="V4" s="15"/>
      <c r="W4" s="15"/>
      <c r="X4" s="15"/>
      <c r="Y4" s="15"/>
      <c r="Z4" s="15"/>
      <c r="AA4" s="15"/>
      <c r="AB4" s="15"/>
      <c r="AC4" s="15"/>
    </row>
    <row r="5" spans="1:29" s="4" customFormat="1" ht="13.8">
      <c r="A5" s="4" t="s">
        <v>33</v>
      </c>
      <c r="B5" s="17">
        <v>445</v>
      </c>
      <c r="C5" s="17">
        <v>6207</v>
      </c>
      <c r="D5" s="17">
        <v>6652</v>
      </c>
      <c r="E5" s="17">
        <v>87</v>
      </c>
      <c r="F5" s="17">
        <v>432</v>
      </c>
      <c r="G5" s="17">
        <v>519</v>
      </c>
      <c r="H5" s="17">
        <v>7171</v>
      </c>
      <c r="I5" s="18">
        <v>3.1900743357162878E-2</v>
      </c>
      <c r="J5" s="13">
        <v>3593</v>
      </c>
      <c r="K5" s="13">
        <v>3578</v>
      </c>
      <c r="L5" s="13">
        <v>407</v>
      </c>
      <c r="M5" s="13">
        <v>644</v>
      </c>
      <c r="N5" s="13">
        <v>756</v>
      </c>
      <c r="O5" s="13">
        <v>645</v>
      </c>
      <c r="P5" s="13">
        <v>314</v>
      </c>
      <c r="Q5" s="13">
        <v>324</v>
      </c>
      <c r="R5" s="13">
        <v>314</v>
      </c>
      <c r="S5" s="13">
        <v>400</v>
      </c>
      <c r="T5" s="13">
        <v>418</v>
      </c>
      <c r="U5" s="13">
        <v>409</v>
      </c>
      <c r="V5" s="13">
        <v>382</v>
      </c>
      <c r="W5" s="13">
        <v>355</v>
      </c>
      <c r="X5" s="13">
        <v>483</v>
      </c>
      <c r="Y5" s="13">
        <v>449</v>
      </c>
      <c r="Z5" s="13">
        <v>329</v>
      </c>
      <c r="AA5" s="13">
        <v>244</v>
      </c>
      <c r="AB5" s="13">
        <v>171</v>
      </c>
      <c r="AC5" s="13">
        <v>127</v>
      </c>
    </row>
    <row r="6" spans="1:29" s="5" customFormat="1" ht="13.8">
      <c r="A6" s="14" t="s">
        <v>41</v>
      </c>
      <c r="B6" s="16"/>
      <c r="C6" s="16"/>
      <c r="D6" s="16">
        <v>0</v>
      </c>
      <c r="E6" s="16"/>
      <c r="F6" s="16"/>
      <c r="G6" s="16">
        <v>0</v>
      </c>
      <c r="H6" s="16">
        <v>0</v>
      </c>
      <c r="I6" s="23">
        <v>0</v>
      </c>
      <c r="J6" s="15"/>
      <c r="K6" s="15"/>
      <c r="L6" s="15"/>
      <c r="M6" s="15"/>
      <c r="N6" s="15"/>
      <c r="O6" s="15"/>
      <c r="P6" s="15"/>
      <c r="Q6" s="15"/>
      <c r="R6" s="15"/>
      <c r="S6" s="15"/>
      <c r="T6" s="15"/>
      <c r="U6" s="15"/>
      <c r="V6" s="15"/>
      <c r="W6" s="15"/>
      <c r="X6" s="15"/>
      <c r="Y6" s="15"/>
      <c r="Z6" s="15"/>
      <c r="AA6" s="15"/>
      <c r="AB6" s="15"/>
      <c r="AC6" s="15"/>
    </row>
    <row r="7" spans="1:29" s="4" customFormat="1" ht="13.8">
      <c r="A7" s="4" t="s">
        <v>42</v>
      </c>
      <c r="B7" s="17"/>
      <c r="C7" s="17">
        <v>1015</v>
      </c>
      <c r="D7" s="17">
        <v>1015</v>
      </c>
      <c r="E7" s="17"/>
      <c r="F7" s="17">
        <v>716</v>
      </c>
      <c r="G7" s="17">
        <v>716</v>
      </c>
      <c r="H7" s="17">
        <v>1731</v>
      </c>
      <c r="I7" s="18">
        <v>7.7004862294308939E-3</v>
      </c>
      <c r="J7" s="13">
        <v>910</v>
      </c>
      <c r="K7" s="13">
        <v>821</v>
      </c>
      <c r="L7" s="13">
        <v>130</v>
      </c>
      <c r="M7" s="13">
        <v>148</v>
      </c>
      <c r="N7" s="13">
        <v>191</v>
      </c>
      <c r="O7" s="13">
        <v>197</v>
      </c>
      <c r="P7" s="13">
        <v>114</v>
      </c>
      <c r="Q7" s="13">
        <v>121</v>
      </c>
      <c r="R7" s="13">
        <v>141</v>
      </c>
      <c r="S7" s="13">
        <v>101</v>
      </c>
      <c r="T7" s="13">
        <v>92</v>
      </c>
      <c r="U7" s="13">
        <v>78</v>
      </c>
      <c r="V7" s="13">
        <v>83</v>
      </c>
      <c r="W7" s="13">
        <v>97</v>
      </c>
      <c r="X7" s="13">
        <v>85</v>
      </c>
      <c r="Y7" s="13">
        <v>57</v>
      </c>
      <c r="Z7" s="13">
        <v>36</v>
      </c>
      <c r="AA7" s="13">
        <v>33</v>
      </c>
      <c r="AB7" s="13">
        <v>20</v>
      </c>
      <c r="AC7" s="13">
        <v>7</v>
      </c>
    </row>
    <row r="8" spans="1:29" s="5" customFormat="1" ht="13.8">
      <c r="A8" s="14" t="s">
        <v>43</v>
      </c>
      <c r="B8" s="16"/>
      <c r="C8" s="16">
        <v>6504</v>
      </c>
      <c r="D8" s="16">
        <v>6504</v>
      </c>
      <c r="E8" s="16"/>
      <c r="F8" s="16">
        <v>2260</v>
      </c>
      <c r="G8" s="16">
        <v>2260</v>
      </c>
      <c r="H8" s="16">
        <v>8764</v>
      </c>
      <c r="I8" s="23">
        <v>3.8987326005044683E-2</v>
      </c>
      <c r="J8" s="15">
        <v>4565</v>
      </c>
      <c r="K8" s="15">
        <v>4199</v>
      </c>
      <c r="L8" s="15">
        <v>589</v>
      </c>
      <c r="M8" s="15">
        <v>965</v>
      </c>
      <c r="N8" s="15">
        <v>903</v>
      </c>
      <c r="O8" s="15">
        <v>888</v>
      </c>
      <c r="P8" s="15">
        <v>632</v>
      </c>
      <c r="Q8" s="15">
        <v>593</v>
      </c>
      <c r="R8" s="15">
        <v>628</v>
      </c>
      <c r="S8" s="15">
        <v>573</v>
      </c>
      <c r="T8" s="15">
        <v>555</v>
      </c>
      <c r="U8" s="15">
        <v>467</v>
      </c>
      <c r="V8" s="15">
        <v>439</v>
      </c>
      <c r="W8" s="15">
        <v>412</v>
      </c>
      <c r="X8" s="15">
        <v>428</v>
      </c>
      <c r="Y8" s="15">
        <v>281</v>
      </c>
      <c r="Z8" s="15">
        <v>181</v>
      </c>
      <c r="AA8" s="15">
        <v>87</v>
      </c>
      <c r="AB8" s="15">
        <v>84</v>
      </c>
      <c r="AC8" s="15">
        <v>59</v>
      </c>
    </row>
    <row r="9" spans="1:29" s="4" customFormat="1" ht="13.8">
      <c r="A9" s="4" t="s">
        <v>44</v>
      </c>
      <c r="B9" s="17"/>
      <c r="C9" s="17">
        <v>2385</v>
      </c>
      <c r="D9" s="17">
        <v>2385</v>
      </c>
      <c r="E9" s="17"/>
      <c r="F9" s="17">
        <v>554</v>
      </c>
      <c r="G9" s="17">
        <v>554</v>
      </c>
      <c r="H9" s="17">
        <v>2939</v>
      </c>
      <c r="I9" s="18">
        <v>1.3074366856324319E-2</v>
      </c>
      <c r="J9" s="13">
        <v>1513</v>
      </c>
      <c r="K9" s="13">
        <v>1426</v>
      </c>
      <c r="L9" s="13">
        <v>178</v>
      </c>
      <c r="M9" s="13">
        <v>229</v>
      </c>
      <c r="N9" s="13">
        <v>307</v>
      </c>
      <c r="O9" s="13">
        <v>319</v>
      </c>
      <c r="P9" s="13">
        <v>190</v>
      </c>
      <c r="Q9" s="13">
        <v>154</v>
      </c>
      <c r="R9" s="13">
        <v>144</v>
      </c>
      <c r="S9" s="13">
        <v>162</v>
      </c>
      <c r="T9" s="13">
        <v>156</v>
      </c>
      <c r="U9" s="13">
        <v>164</v>
      </c>
      <c r="V9" s="13">
        <v>142</v>
      </c>
      <c r="W9" s="13">
        <v>122</v>
      </c>
      <c r="X9" s="13">
        <v>197</v>
      </c>
      <c r="Y9" s="13">
        <v>176</v>
      </c>
      <c r="Z9" s="13">
        <v>120</v>
      </c>
      <c r="AA9" s="13">
        <v>77</v>
      </c>
      <c r="AB9" s="13">
        <v>57</v>
      </c>
      <c r="AC9" s="13">
        <v>45</v>
      </c>
    </row>
    <row r="10" spans="1:29" s="5" customFormat="1" ht="13.8">
      <c r="A10" s="14" t="s">
        <v>45</v>
      </c>
      <c r="B10" s="16">
        <v>12603</v>
      </c>
      <c r="C10" s="16">
        <v>10587</v>
      </c>
      <c r="D10" s="16">
        <v>23190</v>
      </c>
      <c r="E10" s="16">
        <v>1965</v>
      </c>
      <c r="F10" s="16">
        <v>1033</v>
      </c>
      <c r="G10" s="16">
        <v>2998</v>
      </c>
      <c r="H10" s="16">
        <v>26188</v>
      </c>
      <c r="I10" s="23">
        <v>0.1164993260406333</v>
      </c>
      <c r="J10" s="15">
        <v>13408</v>
      </c>
      <c r="K10" s="15">
        <v>12780</v>
      </c>
      <c r="L10" s="15">
        <v>1665</v>
      </c>
      <c r="M10" s="15">
        <v>2613</v>
      </c>
      <c r="N10" s="15">
        <v>2750</v>
      </c>
      <c r="O10" s="15">
        <v>2625</v>
      </c>
      <c r="P10" s="15">
        <v>1663</v>
      </c>
      <c r="Q10" s="15">
        <v>1564</v>
      </c>
      <c r="R10" s="15">
        <v>1562</v>
      </c>
      <c r="S10" s="15">
        <v>1574</v>
      </c>
      <c r="T10" s="15">
        <v>1495</v>
      </c>
      <c r="U10" s="15">
        <v>1382</v>
      </c>
      <c r="V10" s="15">
        <v>1365</v>
      </c>
      <c r="W10" s="15">
        <v>1241</v>
      </c>
      <c r="X10" s="15">
        <v>1554</v>
      </c>
      <c r="Y10" s="15">
        <v>1185</v>
      </c>
      <c r="Z10" s="15">
        <v>716</v>
      </c>
      <c r="AA10" s="15">
        <v>518</v>
      </c>
      <c r="AB10" s="15">
        <v>451</v>
      </c>
      <c r="AC10" s="15">
        <v>265</v>
      </c>
    </row>
    <row r="11" spans="1:29" s="4" customFormat="1" ht="13.8">
      <c r="A11" s="4" t="s">
        <v>46</v>
      </c>
      <c r="B11" s="17"/>
      <c r="C11" s="17">
        <v>8213</v>
      </c>
      <c r="D11" s="17">
        <v>8213</v>
      </c>
      <c r="E11" s="17"/>
      <c r="F11" s="17">
        <v>1580</v>
      </c>
      <c r="G11" s="17">
        <v>1580</v>
      </c>
      <c r="H11" s="17">
        <v>9793</v>
      </c>
      <c r="I11" s="18">
        <v>4.3564911406595457E-2</v>
      </c>
      <c r="J11" s="13">
        <v>5068</v>
      </c>
      <c r="K11" s="13">
        <v>4725</v>
      </c>
      <c r="L11" s="13">
        <v>623</v>
      </c>
      <c r="M11" s="13">
        <v>1003</v>
      </c>
      <c r="N11" s="13">
        <v>1085</v>
      </c>
      <c r="O11" s="13">
        <v>1107</v>
      </c>
      <c r="P11" s="13">
        <v>629</v>
      </c>
      <c r="Q11" s="13">
        <v>554</v>
      </c>
      <c r="R11" s="13">
        <v>564</v>
      </c>
      <c r="S11" s="13">
        <v>638</v>
      </c>
      <c r="T11" s="13">
        <v>584</v>
      </c>
      <c r="U11" s="13">
        <v>594</v>
      </c>
      <c r="V11" s="13">
        <v>482</v>
      </c>
      <c r="W11" s="13">
        <v>407</v>
      </c>
      <c r="X11" s="13">
        <v>483</v>
      </c>
      <c r="Y11" s="13">
        <v>382</v>
      </c>
      <c r="Z11" s="13">
        <v>237</v>
      </c>
      <c r="AA11" s="13">
        <v>198</v>
      </c>
      <c r="AB11" s="13">
        <v>137</v>
      </c>
      <c r="AC11" s="13">
        <v>86</v>
      </c>
    </row>
    <row r="12" spans="1:29" s="5" customFormat="1" ht="13.8">
      <c r="A12" s="14" t="s">
        <v>47</v>
      </c>
      <c r="B12" s="16">
        <v>767</v>
      </c>
      <c r="C12" s="16">
        <v>1069</v>
      </c>
      <c r="D12" s="16">
        <v>1836</v>
      </c>
      <c r="E12" s="16">
        <v>1</v>
      </c>
      <c r="F12" s="16">
        <v>82</v>
      </c>
      <c r="G12" s="16">
        <v>83</v>
      </c>
      <c r="H12" s="16">
        <v>1919</v>
      </c>
      <c r="I12" s="23">
        <v>8.536818644874572E-3</v>
      </c>
      <c r="J12" s="15">
        <v>1024</v>
      </c>
      <c r="K12" s="15">
        <v>895</v>
      </c>
      <c r="L12" s="15">
        <v>67</v>
      </c>
      <c r="M12" s="15">
        <v>54</v>
      </c>
      <c r="N12" s="15">
        <v>100</v>
      </c>
      <c r="O12" s="15">
        <v>110</v>
      </c>
      <c r="P12" s="15">
        <v>74</v>
      </c>
      <c r="Q12" s="15">
        <v>75</v>
      </c>
      <c r="R12" s="15">
        <v>79</v>
      </c>
      <c r="S12" s="15">
        <v>91</v>
      </c>
      <c r="T12" s="15">
        <v>95</v>
      </c>
      <c r="U12" s="15">
        <v>86</v>
      </c>
      <c r="V12" s="15">
        <v>100</v>
      </c>
      <c r="W12" s="15">
        <v>159</v>
      </c>
      <c r="X12" s="15">
        <v>212</v>
      </c>
      <c r="Y12" s="15">
        <v>200</v>
      </c>
      <c r="Z12" s="15">
        <v>141</v>
      </c>
      <c r="AA12" s="15">
        <v>124</v>
      </c>
      <c r="AB12" s="15">
        <v>100</v>
      </c>
      <c r="AC12" s="15">
        <v>52</v>
      </c>
    </row>
    <row r="13" spans="1:29" s="4" customFormat="1" ht="13.8">
      <c r="A13" s="4" t="s">
        <v>48</v>
      </c>
      <c r="B13" s="17"/>
      <c r="C13" s="17"/>
      <c r="D13" s="17">
        <v>0</v>
      </c>
      <c r="E13" s="17"/>
      <c r="F13" s="17"/>
      <c r="G13" s="17">
        <v>0</v>
      </c>
      <c r="H13" s="17">
        <v>0</v>
      </c>
      <c r="I13" s="18">
        <v>0</v>
      </c>
      <c r="J13" s="13"/>
      <c r="K13" s="13"/>
      <c r="L13" s="13"/>
      <c r="M13" s="13"/>
      <c r="N13" s="13"/>
      <c r="O13" s="13"/>
      <c r="P13" s="13"/>
      <c r="Q13" s="13"/>
      <c r="R13" s="13"/>
      <c r="S13" s="13"/>
      <c r="T13" s="13"/>
      <c r="U13" s="13"/>
      <c r="V13" s="13"/>
      <c r="W13" s="13"/>
      <c r="X13" s="13"/>
      <c r="Y13" s="13"/>
      <c r="Z13" s="13"/>
      <c r="AA13" s="13"/>
      <c r="AB13" s="13"/>
      <c r="AC13" s="13"/>
    </row>
    <row r="14" spans="1:29" s="5" customFormat="1" ht="13.8">
      <c r="A14" s="14" t="s">
        <v>49</v>
      </c>
      <c r="B14" s="16"/>
      <c r="C14" s="16">
        <v>126</v>
      </c>
      <c r="D14" s="16">
        <v>126</v>
      </c>
      <c r="E14" s="16"/>
      <c r="F14" s="16">
        <v>82</v>
      </c>
      <c r="G14" s="16">
        <v>82</v>
      </c>
      <c r="H14" s="16">
        <v>208</v>
      </c>
      <c r="I14" s="23">
        <v>9.2530394900151695E-4</v>
      </c>
      <c r="J14" s="15">
        <v>86</v>
      </c>
      <c r="K14" s="15">
        <v>122</v>
      </c>
      <c r="L14" s="15">
        <v>6</v>
      </c>
      <c r="M14" s="15">
        <v>16</v>
      </c>
      <c r="N14" s="15">
        <v>19</v>
      </c>
      <c r="O14" s="15">
        <v>23</v>
      </c>
      <c r="P14" s="15">
        <v>16</v>
      </c>
      <c r="Q14" s="15">
        <v>17</v>
      </c>
      <c r="R14" s="15">
        <v>15</v>
      </c>
      <c r="S14" s="15">
        <v>6</v>
      </c>
      <c r="T14" s="15">
        <v>8</v>
      </c>
      <c r="U14" s="15">
        <v>13</v>
      </c>
      <c r="V14" s="15">
        <v>14</v>
      </c>
      <c r="W14" s="15">
        <v>14</v>
      </c>
      <c r="X14" s="15">
        <v>10</v>
      </c>
      <c r="Y14" s="15">
        <v>14</v>
      </c>
      <c r="Z14" s="15">
        <v>4</v>
      </c>
      <c r="AA14" s="15">
        <v>7</v>
      </c>
      <c r="AB14" s="15">
        <v>4</v>
      </c>
      <c r="AC14" s="15">
        <v>2</v>
      </c>
    </row>
    <row r="15" spans="1:29" s="4" customFormat="1" ht="13.8">
      <c r="A15" s="4" t="s">
        <v>50</v>
      </c>
      <c r="B15" s="17"/>
      <c r="C15" s="17">
        <v>184</v>
      </c>
      <c r="D15" s="17">
        <v>184</v>
      </c>
      <c r="E15" s="17"/>
      <c r="F15" s="17">
        <v>48</v>
      </c>
      <c r="G15" s="17">
        <v>48</v>
      </c>
      <c r="H15" s="17">
        <v>232</v>
      </c>
      <c r="I15" s="18">
        <v>1.0320697892709227E-3</v>
      </c>
      <c r="J15" s="13">
        <v>141</v>
      </c>
      <c r="K15" s="13">
        <v>91</v>
      </c>
      <c r="L15" s="13">
        <v>11</v>
      </c>
      <c r="M15" s="13">
        <v>22</v>
      </c>
      <c r="N15" s="13">
        <v>23</v>
      </c>
      <c r="O15" s="13">
        <v>14</v>
      </c>
      <c r="P15" s="13">
        <v>13</v>
      </c>
      <c r="Q15" s="13">
        <v>10</v>
      </c>
      <c r="R15" s="13">
        <v>12</v>
      </c>
      <c r="S15" s="13">
        <v>19</v>
      </c>
      <c r="T15" s="13">
        <v>12</v>
      </c>
      <c r="U15" s="13">
        <v>10</v>
      </c>
      <c r="V15" s="13">
        <v>12</v>
      </c>
      <c r="W15" s="13">
        <v>16</v>
      </c>
      <c r="X15" s="13">
        <v>16</v>
      </c>
      <c r="Y15" s="13">
        <v>14</v>
      </c>
      <c r="Z15" s="13">
        <v>8</v>
      </c>
      <c r="AA15" s="13">
        <v>7</v>
      </c>
      <c r="AB15" s="13">
        <v>5</v>
      </c>
      <c r="AC15" s="13">
        <v>8</v>
      </c>
    </row>
    <row r="16" spans="1:29" s="5" customFormat="1" ht="13.8">
      <c r="A16" s="14" t="s">
        <v>36</v>
      </c>
      <c r="B16" s="16"/>
      <c r="C16" s="16">
        <v>2349</v>
      </c>
      <c r="D16" s="16">
        <v>2349</v>
      </c>
      <c r="E16" s="16"/>
      <c r="F16" s="16">
        <v>332</v>
      </c>
      <c r="G16" s="16">
        <v>332</v>
      </c>
      <c r="H16" s="16">
        <v>2681</v>
      </c>
      <c r="I16" s="23">
        <v>1.1926634073428206E-2</v>
      </c>
      <c r="J16" s="15">
        <v>1324</v>
      </c>
      <c r="K16" s="15">
        <v>1357</v>
      </c>
      <c r="L16" s="15">
        <v>191</v>
      </c>
      <c r="M16" s="15">
        <v>269</v>
      </c>
      <c r="N16" s="15">
        <v>341</v>
      </c>
      <c r="O16" s="15">
        <v>264</v>
      </c>
      <c r="P16" s="15">
        <v>118</v>
      </c>
      <c r="Q16" s="15">
        <v>130</v>
      </c>
      <c r="R16" s="15">
        <v>148</v>
      </c>
      <c r="S16" s="15">
        <v>153</v>
      </c>
      <c r="T16" s="15">
        <v>136</v>
      </c>
      <c r="U16" s="15">
        <v>116</v>
      </c>
      <c r="V16" s="15">
        <v>131</v>
      </c>
      <c r="W16" s="15">
        <v>104</v>
      </c>
      <c r="X16" s="15">
        <v>186</v>
      </c>
      <c r="Y16" s="15">
        <v>161</v>
      </c>
      <c r="Z16" s="15">
        <v>108</v>
      </c>
      <c r="AA16" s="15">
        <v>58</v>
      </c>
      <c r="AB16" s="15">
        <v>41</v>
      </c>
      <c r="AC16" s="15">
        <v>26</v>
      </c>
    </row>
    <row r="17" spans="1:29" s="4" customFormat="1" ht="13.8">
      <c r="A17" s="4" t="s">
        <v>51</v>
      </c>
      <c r="B17" s="17"/>
      <c r="C17" s="17"/>
      <c r="D17" s="17">
        <v>0</v>
      </c>
      <c r="E17" s="17"/>
      <c r="F17" s="17"/>
      <c r="G17" s="17">
        <v>0</v>
      </c>
      <c r="H17" s="17">
        <v>0</v>
      </c>
      <c r="I17" s="18">
        <v>0</v>
      </c>
      <c r="J17" s="13"/>
      <c r="K17" s="13"/>
      <c r="L17" s="13"/>
      <c r="M17" s="13"/>
      <c r="N17" s="13"/>
      <c r="O17" s="13"/>
      <c r="P17" s="13"/>
      <c r="Q17" s="13"/>
      <c r="R17" s="13"/>
      <c r="S17" s="13"/>
      <c r="T17" s="13"/>
      <c r="U17" s="13"/>
      <c r="V17" s="13"/>
      <c r="W17" s="13"/>
      <c r="X17" s="13"/>
      <c r="Y17" s="13"/>
      <c r="Z17" s="13"/>
      <c r="AA17" s="13"/>
      <c r="AB17" s="13"/>
      <c r="AC17" s="13"/>
    </row>
    <row r="18" spans="1:29" s="5" customFormat="1" ht="13.8">
      <c r="A18" s="14" t="s">
        <v>52</v>
      </c>
      <c r="B18" s="16"/>
      <c r="C18" s="16">
        <v>124</v>
      </c>
      <c r="D18" s="16">
        <v>124</v>
      </c>
      <c r="E18" s="16"/>
      <c r="F18" s="16">
        <v>24</v>
      </c>
      <c r="G18" s="16">
        <v>24</v>
      </c>
      <c r="H18" s="16">
        <v>148</v>
      </c>
      <c r="I18" s="23">
        <v>6.583893483280024E-4</v>
      </c>
      <c r="J18" s="15">
        <v>58</v>
      </c>
      <c r="K18" s="15">
        <v>90</v>
      </c>
      <c r="L18" s="15">
        <v>11</v>
      </c>
      <c r="M18" s="15">
        <v>22</v>
      </c>
      <c r="N18" s="15">
        <v>21</v>
      </c>
      <c r="O18" s="15">
        <v>16</v>
      </c>
      <c r="P18" s="15">
        <v>9</v>
      </c>
      <c r="Q18" s="15">
        <v>8</v>
      </c>
      <c r="R18" s="15">
        <v>9</v>
      </c>
      <c r="S18" s="15">
        <v>12</v>
      </c>
      <c r="T18" s="15">
        <v>5</v>
      </c>
      <c r="U18" s="15">
        <v>9</v>
      </c>
      <c r="V18" s="15">
        <v>5</v>
      </c>
      <c r="W18" s="15">
        <v>1</v>
      </c>
      <c r="X18" s="15">
        <v>7</v>
      </c>
      <c r="Y18" s="15">
        <v>5</v>
      </c>
      <c r="Z18" s="15">
        <v>1</v>
      </c>
      <c r="AA18" s="15">
        <v>2</v>
      </c>
      <c r="AB18" s="15">
        <v>2</v>
      </c>
      <c r="AC18" s="15">
        <v>3</v>
      </c>
    </row>
    <row r="19" spans="1:29" s="4" customFormat="1" ht="13.8">
      <c r="A19" s="4" t="s">
        <v>53</v>
      </c>
      <c r="B19" s="17"/>
      <c r="C19" s="17"/>
      <c r="D19" s="17">
        <v>0</v>
      </c>
      <c r="E19" s="17"/>
      <c r="F19" s="17"/>
      <c r="G19" s="17">
        <v>0</v>
      </c>
      <c r="H19" s="17">
        <v>0</v>
      </c>
      <c r="I19" s="18">
        <v>0</v>
      </c>
      <c r="J19" s="13"/>
      <c r="K19" s="13"/>
      <c r="L19" s="13"/>
      <c r="M19" s="13"/>
      <c r="N19" s="13"/>
      <c r="O19" s="13"/>
      <c r="P19" s="13"/>
      <c r="Q19" s="13"/>
      <c r="R19" s="13"/>
      <c r="S19" s="13"/>
      <c r="T19" s="13"/>
      <c r="U19" s="13"/>
      <c r="V19" s="13"/>
      <c r="W19" s="13"/>
      <c r="X19" s="13"/>
      <c r="Y19" s="13"/>
      <c r="Z19" s="13"/>
      <c r="AA19" s="13"/>
      <c r="AB19" s="13"/>
      <c r="AC19" s="13"/>
    </row>
    <row r="20" spans="1:29" s="5" customFormat="1" ht="13.8">
      <c r="A20" s="14" t="s">
        <v>54</v>
      </c>
      <c r="B20" s="16"/>
      <c r="C20" s="16"/>
      <c r="D20" s="16">
        <v>0</v>
      </c>
      <c r="E20" s="16"/>
      <c r="F20" s="16"/>
      <c r="G20" s="16">
        <v>0</v>
      </c>
      <c r="H20" s="16">
        <v>0</v>
      </c>
      <c r="I20" s="23">
        <v>0</v>
      </c>
      <c r="J20" s="15"/>
      <c r="K20" s="15"/>
      <c r="L20" s="15"/>
      <c r="M20" s="15"/>
      <c r="N20" s="15"/>
      <c r="O20" s="15"/>
      <c r="P20" s="15"/>
      <c r="Q20" s="15"/>
      <c r="R20" s="15"/>
      <c r="S20" s="15"/>
      <c r="T20" s="15"/>
      <c r="U20" s="15"/>
      <c r="V20" s="15"/>
      <c r="W20" s="15"/>
      <c r="X20" s="15"/>
      <c r="Y20" s="15"/>
      <c r="Z20" s="15"/>
      <c r="AA20" s="15"/>
      <c r="AB20" s="15"/>
      <c r="AC20" s="15"/>
    </row>
    <row r="21" spans="1:29" s="4" customFormat="1" ht="13.8">
      <c r="A21" s="4" t="s">
        <v>55</v>
      </c>
      <c r="B21" s="17"/>
      <c r="C21" s="17"/>
      <c r="D21" s="17">
        <v>0</v>
      </c>
      <c r="E21" s="17"/>
      <c r="F21" s="17"/>
      <c r="G21" s="17">
        <v>0</v>
      </c>
      <c r="H21" s="17">
        <v>0</v>
      </c>
      <c r="I21" s="18">
        <v>0</v>
      </c>
      <c r="J21" s="13"/>
      <c r="K21" s="13"/>
      <c r="L21" s="13"/>
      <c r="M21" s="13"/>
      <c r="N21" s="13"/>
      <c r="O21" s="13"/>
      <c r="P21" s="13"/>
      <c r="Q21" s="13"/>
      <c r="R21" s="13"/>
      <c r="S21" s="13"/>
      <c r="T21" s="13"/>
      <c r="U21" s="13"/>
      <c r="V21" s="13"/>
      <c r="W21" s="13"/>
      <c r="X21" s="13"/>
      <c r="Y21" s="13"/>
      <c r="Z21" s="13"/>
      <c r="AA21" s="13"/>
      <c r="AB21" s="13"/>
      <c r="AC21" s="13"/>
    </row>
    <row r="22" spans="1:29" s="5" customFormat="1" ht="13.8">
      <c r="A22" s="14" t="s">
        <v>56</v>
      </c>
      <c r="B22" s="16">
        <v>13486</v>
      </c>
      <c r="C22" s="16">
        <v>1701</v>
      </c>
      <c r="D22" s="16">
        <v>15187</v>
      </c>
      <c r="E22" s="16">
        <v>1606</v>
      </c>
      <c r="F22" s="16">
        <v>227</v>
      </c>
      <c r="G22" s="16">
        <v>1833</v>
      </c>
      <c r="H22" s="16">
        <v>17020</v>
      </c>
      <c r="I22" s="23">
        <v>7.5714775057720285E-2</v>
      </c>
      <c r="J22" s="15">
        <v>8773</v>
      </c>
      <c r="K22" s="15">
        <v>8247</v>
      </c>
      <c r="L22" s="15">
        <v>1273</v>
      </c>
      <c r="M22" s="15">
        <v>1705</v>
      </c>
      <c r="N22" s="15">
        <v>1874</v>
      </c>
      <c r="O22" s="15">
        <v>1669</v>
      </c>
      <c r="P22" s="15">
        <v>1305</v>
      </c>
      <c r="Q22" s="15">
        <v>1226</v>
      </c>
      <c r="R22" s="15">
        <v>1163</v>
      </c>
      <c r="S22" s="15">
        <v>1113</v>
      </c>
      <c r="T22" s="15">
        <v>1020</v>
      </c>
      <c r="U22" s="15">
        <v>889</v>
      </c>
      <c r="V22" s="15">
        <v>864</v>
      </c>
      <c r="W22" s="15">
        <v>843</v>
      </c>
      <c r="X22" s="15">
        <v>803</v>
      </c>
      <c r="Y22" s="15">
        <v>497</v>
      </c>
      <c r="Z22" s="15">
        <v>320</v>
      </c>
      <c r="AA22" s="15">
        <v>213</v>
      </c>
      <c r="AB22" s="15">
        <v>160</v>
      </c>
      <c r="AC22" s="15">
        <v>83</v>
      </c>
    </row>
    <row r="23" spans="1:29" s="4" customFormat="1" ht="13.8">
      <c r="A23" s="4" t="s">
        <v>57</v>
      </c>
      <c r="B23" s="17"/>
      <c r="C23" s="17">
        <v>3316</v>
      </c>
      <c r="D23" s="17">
        <v>3316</v>
      </c>
      <c r="E23" s="17"/>
      <c r="F23" s="17">
        <v>545</v>
      </c>
      <c r="G23" s="17">
        <v>545</v>
      </c>
      <c r="H23" s="17">
        <v>3861</v>
      </c>
      <c r="I23" s="18">
        <v>1.7175954553340658E-2</v>
      </c>
      <c r="J23" s="13">
        <v>2037</v>
      </c>
      <c r="K23" s="13">
        <v>1824</v>
      </c>
      <c r="L23" s="13">
        <v>219</v>
      </c>
      <c r="M23" s="13">
        <v>313</v>
      </c>
      <c r="N23" s="13">
        <v>432</v>
      </c>
      <c r="O23" s="13">
        <v>398</v>
      </c>
      <c r="P23" s="13">
        <v>268</v>
      </c>
      <c r="Q23" s="13">
        <v>241</v>
      </c>
      <c r="R23" s="13">
        <v>256</v>
      </c>
      <c r="S23" s="13">
        <v>214</v>
      </c>
      <c r="T23" s="13">
        <v>212</v>
      </c>
      <c r="U23" s="13">
        <v>192</v>
      </c>
      <c r="V23" s="13">
        <v>207</v>
      </c>
      <c r="W23" s="13">
        <v>153</v>
      </c>
      <c r="X23" s="13">
        <v>220</v>
      </c>
      <c r="Y23" s="13">
        <v>176</v>
      </c>
      <c r="Z23" s="13">
        <v>131</v>
      </c>
      <c r="AA23" s="13">
        <v>97</v>
      </c>
      <c r="AB23" s="13">
        <v>90</v>
      </c>
      <c r="AC23" s="13">
        <v>42</v>
      </c>
    </row>
    <row r="24" spans="1:29" s="5" customFormat="1" ht="13.8">
      <c r="A24" s="14" t="s">
        <v>58</v>
      </c>
      <c r="B24" s="16"/>
      <c r="C24" s="16"/>
      <c r="D24" s="16">
        <v>0</v>
      </c>
      <c r="E24" s="16"/>
      <c r="F24" s="16"/>
      <c r="G24" s="16">
        <v>0</v>
      </c>
      <c r="H24" s="16">
        <v>0</v>
      </c>
      <c r="I24" s="23">
        <v>0</v>
      </c>
      <c r="J24" s="15"/>
      <c r="K24" s="15"/>
      <c r="L24" s="15"/>
      <c r="M24" s="15"/>
      <c r="N24" s="15"/>
      <c r="O24" s="15"/>
      <c r="P24" s="15"/>
      <c r="Q24" s="15"/>
      <c r="R24" s="15"/>
      <c r="S24" s="15"/>
      <c r="T24" s="15"/>
      <c r="U24" s="15"/>
      <c r="V24" s="15"/>
      <c r="W24" s="15"/>
      <c r="X24" s="15"/>
      <c r="Y24" s="15"/>
      <c r="Z24" s="15"/>
      <c r="AA24" s="15"/>
      <c r="AB24" s="15"/>
      <c r="AC24" s="15"/>
    </row>
    <row r="25" spans="1:29" s="4" customFormat="1" ht="13.8">
      <c r="A25" s="4" t="s">
        <v>59</v>
      </c>
      <c r="B25" s="17"/>
      <c r="C25" s="17"/>
      <c r="D25" s="17">
        <v>0</v>
      </c>
      <c r="E25" s="17"/>
      <c r="F25" s="17"/>
      <c r="G25" s="17">
        <v>0</v>
      </c>
      <c r="H25" s="17">
        <v>0</v>
      </c>
      <c r="I25" s="18">
        <v>0</v>
      </c>
      <c r="J25" s="13"/>
      <c r="K25" s="13"/>
      <c r="L25" s="13"/>
      <c r="M25" s="13"/>
      <c r="N25" s="13"/>
      <c r="O25" s="13"/>
      <c r="P25" s="13"/>
      <c r="Q25" s="13"/>
      <c r="R25" s="13"/>
      <c r="S25" s="13"/>
      <c r="T25" s="13"/>
      <c r="U25" s="13"/>
      <c r="V25" s="13"/>
      <c r="W25" s="13"/>
      <c r="X25" s="13"/>
      <c r="Y25" s="13"/>
      <c r="Z25" s="13"/>
      <c r="AA25" s="13"/>
      <c r="AB25" s="13"/>
      <c r="AC25" s="13"/>
    </row>
    <row r="26" spans="1:29" s="5" customFormat="1" ht="13.8">
      <c r="A26" s="14" t="s">
        <v>60</v>
      </c>
      <c r="B26" s="16">
        <v>32151</v>
      </c>
      <c r="C26" s="16">
        <v>29946</v>
      </c>
      <c r="D26" s="16">
        <v>62097</v>
      </c>
      <c r="E26" s="16">
        <v>3028</v>
      </c>
      <c r="F26" s="16">
        <v>2565</v>
      </c>
      <c r="G26" s="16">
        <v>5593</v>
      </c>
      <c r="H26" s="16">
        <v>67690</v>
      </c>
      <c r="I26" s="23">
        <v>0.30112415532650327</v>
      </c>
      <c r="J26" s="15">
        <v>35620</v>
      </c>
      <c r="K26" s="15">
        <v>32070</v>
      </c>
      <c r="L26" s="15">
        <v>4733</v>
      </c>
      <c r="M26" s="15">
        <v>6724</v>
      </c>
      <c r="N26" s="15">
        <v>6928</v>
      </c>
      <c r="O26" s="15">
        <v>6655</v>
      </c>
      <c r="P26" s="15">
        <v>4644</v>
      </c>
      <c r="Q26" s="15">
        <v>4579</v>
      </c>
      <c r="R26" s="15">
        <v>4768</v>
      </c>
      <c r="S26" s="15">
        <v>4387</v>
      </c>
      <c r="T26" s="15">
        <v>3650</v>
      </c>
      <c r="U26" s="15">
        <v>3470</v>
      </c>
      <c r="V26" s="15">
        <v>3279</v>
      </c>
      <c r="W26" s="15">
        <v>3362</v>
      </c>
      <c r="X26" s="15">
        <v>3732</v>
      </c>
      <c r="Y26" s="15">
        <v>2571</v>
      </c>
      <c r="Z26" s="15">
        <v>1701</v>
      </c>
      <c r="AA26" s="15">
        <v>1117</v>
      </c>
      <c r="AB26" s="15">
        <v>867</v>
      </c>
      <c r="AC26" s="15">
        <v>523</v>
      </c>
    </row>
    <row r="27" spans="1:29" s="4" customFormat="1" ht="13.8">
      <c r="A27" s="4" t="s">
        <v>61</v>
      </c>
      <c r="B27" s="17">
        <v>25028</v>
      </c>
      <c r="C27" s="17">
        <v>14119</v>
      </c>
      <c r="D27" s="17">
        <v>39147</v>
      </c>
      <c r="E27" s="17">
        <v>2592</v>
      </c>
      <c r="F27" s="17">
        <v>1262</v>
      </c>
      <c r="G27" s="17">
        <v>3854</v>
      </c>
      <c r="H27" s="17">
        <v>43001</v>
      </c>
      <c r="I27" s="18">
        <v>0.19129324572602996</v>
      </c>
      <c r="J27" s="13">
        <v>22760</v>
      </c>
      <c r="K27" s="13">
        <v>20241</v>
      </c>
      <c r="L27" s="13">
        <v>2780</v>
      </c>
      <c r="M27" s="13">
        <v>4099</v>
      </c>
      <c r="N27" s="13">
        <v>4420</v>
      </c>
      <c r="O27" s="13">
        <v>4154</v>
      </c>
      <c r="P27" s="13">
        <v>3236</v>
      </c>
      <c r="Q27" s="13">
        <v>2797</v>
      </c>
      <c r="R27" s="13">
        <v>2766</v>
      </c>
      <c r="S27" s="13">
        <v>2610</v>
      </c>
      <c r="T27" s="13">
        <v>2332</v>
      </c>
      <c r="U27" s="13">
        <v>2197</v>
      </c>
      <c r="V27" s="13">
        <v>2339</v>
      </c>
      <c r="W27" s="13">
        <v>2399</v>
      </c>
      <c r="X27" s="13">
        <v>2445</v>
      </c>
      <c r="Y27" s="13">
        <v>1609</v>
      </c>
      <c r="Z27" s="13">
        <v>1057</v>
      </c>
      <c r="AA27" s="13">
        <v>687</v>
      </c>
      <c r="AB27" s="13">
        <v>622</v>
      </c>
      <c r="AC27" s="13">
        <v>452</v>
      </c>
    </row>
  </sheetData>
  <pageMargins left="0" right="0" top="0.39370000000000011" bottom="0.39370000000000011" header="0" footer="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4"/>
  <sheetViews>
    <sheetView workbookViewId="0">
      <selection activeCell="A2" sqref="A2:A3"/>
    </sheetView>
  </sheetViews>
  <sheetFormatPr defaultRowHeight="13.2"/>
  <cols>
    <col min="1" max="1" width="196.77734375" bestFit="1" customWidth="1"/>
    <col min="2" max="1024" width="12.21875" customWidth="1"/>
  </cols>
  <sheetData>
    <row r="1" spans="1:28" s="4" customFormat="1" ht="13.8">
      <c r="A1" s="37" t="s">
        <v>76</v>
      </c>
      <c r="B1" s="8"/>
      <c r="C1" s="9"/>
      <c r="D1" s="9"/>
      <c r="E1" s="8"/>
      <c r="F1" s="8"/>
      <c r="G1" s="8"/>
      <c r="H1" s="9"/>
      <c r="I1" s="9"/>
      <c r="J1" s="9"/>
      <c r="K1" s="9"/>
      <c r="L1" s="9"/>
      <c r="M1" s="9"/>
      <c r="N1" s="9"/>
      <c r="O1" s="9"/>
      <c r="P1" s="9"/>
      <c r="Q1" s="9"/>
      <c r="R1" s="9"/>
      <c r="S1" s="9"/>
      <c r="T1" s="9"/>
      <c r="U1" s="9"/>
      <c r="V1" s="9"/>
      <c r="W1" s="9"/>
      <c r="X1" s="9"/>
      <c r="Y1" s="9"/>
      <c r="Z1" s="9"/>
      <c r="AA1" s="9"/>
      <c r="AB1" s="9"/>
    </row>
    <row r="2" spans="1:28" s="4" customFormat="1" ht="13.8">
      <c r="A2" s="38" t="s">
        <v>77</v>
      </c>
      <c r="C2" s="9"/>
      <c r="D2" s="9"/>
      <c r="H2" s="9"/>
      <c r="I2" s="9"/>
      <c r="J2" s="9"/>
      <c r="K2" s="9"/>
      <c r="L2" s="9"/>
      <c r="M2" s="9"/>
      <c r="N2" s="9"/>
      <c r="O2" s="9"/>
      <c r="P2" s="9"/>
      <c r="Q2" s="9"/>
      <c r="R2" s="9"/>
      <c r="S2" s="9"/>
      <c r="T2" s="9"/>
      <c r="U2" s="9"/>
      <c r="V2" s="9"/>
      <c r="W2" s="9"/>
      <c r="X2" s="9"/>
      <c r="Y2" s="9"/>
      <c r="Z2" s="9"/>
      <c r="AA2" s="9"/>
      <c r="AB2" s="9"/>
    </row>
    <row r="3" spans="1:28" s="4" customFormat="1" ht="13.8">
      <c r="A3" t="s">
        <v>88</v>
      </c>
      <c r="C3" s="9"/>
      <c r="D3" s="9"/>
      <c r="H3" s="9"/>
      <c r="I3" s="9"/>
      <c r="J3" s="9"/>
      <c r="K3" s="9"/>
      <c r="L3" s="9"/>
      <c r="M3" s="9"/>
      <c r="N3" s="9"/>
      <c r="O3" s="9"/>
      <c r="P3" s="9"/>
      <c r="Q3" s="9"/>
      <c r="R3" s="9"/>
      <c r="S3" s="9"/>
      <c r="T3" s="9"/>
      <c r="U3" s="9"/>
      <c r="V3" s="9"/>
      <c r="W3" s="9"/>
      <c r="X3" s="9"/>
      <c r="Y3" s="9"/>
      <c r="Z3" s="9"/>
      <c r="AA3" s="9"/>
      <c r="AB3" s="9"/>
    </row>
    <row r="4" spans="1:28" s="4" customFormat="1" ht="13.8">
      <c r="A4" s="11"/>
      <c r="C4" s="9"/>
      <c r="D4" s="9"/>
      <c r="H4" s="9"/>
      <c r="I4" s="9"/>
      <c r="J4" s="9"/>
      <c r="K4" s="9"/>
      <c r="L4" s="9"/>
      <c r="M4" s="9"/>
      <c r="N4" s="9"/>
      <c r="O4" s="9"/>
      <c r="P4" s="9"/>
      <c r="Q4" s="9"/>
      <c r="R4" s="9"/>
      <c r="S4" s="9"/>
      <c r="T4" s="9"/>
      <c r="U4" s="9"/>
      <c r="V4" s="9"/>
      <c r="W4" s="9"/>
      <c r="X4" s="9"/>
      <c r="Y4" s="9"/>
      <c r="Z4" s="9"/>
      <c r="AA4" s="9"/>
      <c r="AB4" s="9"/>
    </row>
    <row r="5" spans="1:28" s="4" customFormat="1" ht="13.8">
      <c r="A5" s="11"/>
      <c r="C5" s="9"/>
      <c r="D5" s="9"/>
      <c r="H5" s="9"/>
      <c r="I5" s="9"/>
      <c r="J5" s="9"/>
      <c r="K5" s="9"/>
      <c r="L5" s="9"/>
      <c r="M5" s="9"/>
      <c r="N5" s="9"/>
      <c r="O5" s="9"/>
      <c r="P5" s="9"/>
      <c r="Q5" s="9"/>
      <c r="R5" s="9"/>
      <c r="S5" s="9"/>
      <c r="T5" s="9"/>
      <c r="U5" s="9"/>
      <c r="V5" s="9"/>
      <c r="W5" s="9"/>
      <c r="X5" s="9"/>
      <c r="Y5" s="9"/>
      <c r="Z5" s="9"/>
      <c r="AA5" s="9"/>
      <c r="AB5" s="9"/>
    </row>
    <row r="7" spans="1:28" s="4" customFormat="1" ht="13.8">
      <c r="A7" s="8"/>
      <c r="B7" s="8"/>
      <c r="D7" s="9"/>
      <c r="E7" s="9"/>
      <c r="F7" s="9"/>
      <c r="G7" s="9"/>
      <c r="H7" s="9"/>
      <c r="I7" s="9"/>
      <c r="J7" s="9"/>
      <c r="K7" s="9"/>
      <c r="L7" s="9"/>
      <c r="M7" s="9"/>
      <c r="N7" s="9"/>
      <c r="O7" s="9"/>
      <c r="P7" s="9"/>
      <c r="Q7" s="9"/>
      <c r="R7" s="9"/>
      <c r="S7" s="9"/>
      <c r="T7" s="9"/>
    </row>
    <row r="9" spans="1:28" s="4" customFormat="1" ht="13.8">
      <c r="A9" s="8"/>
      <c r="D9" s="12"/>
      <c r="E9" s="12"/>
      <c r="F9" s="12"/>
      <c r="G9" s="12"/>
      <c r="H9" s="12"/>
      <c r="I9" s="12"/>
      <c r="J9" s="12"/>
      <c r="K9" s="12"/>
      <c r="L9" s="12"/>
      <c r="M9" s="12"/>
      <c r="N9" s="12"/>
      <c r="O9" s="12"/>
      <c r="P9" s="12"/>
      <c r="Q9" s="12"/>
      <c r="R9" s="12"/>
      <c r="S9" s="12"/>
      <c r="T9" s="12"/>
      <c r="U9" s="12"/>
      <c r="V9" s="12"/>
      <c r="W9" s="12"/>
    </row>
    <row r="14" spans="1:28" s="4" customFormat="1" ht="13.8">
      <c r="A14" s="8"/>
      <c r="B14" s="8"/>
      <c r="C14" s="8"/>
      <c r="D14" s="8"/>
      <c r="E14" s="8"/>
      <c r="F14" s="8"/>
      <c r="G14" s="8"/>
      <c r="H14" s="8"/>
      <c r="J14" s="9"/>
      <c r="K14" s="9"/>
      <c r="L14" s="9"/>
      <c r="M14" s="9"/>
      <c r="N14" s="9"/>
      <c r="O14" s="9"/>
      <c r="P14" s="9"/>
      <c r="Q14" s="9"/>
      <c r="R14" s="9"/>
      <c r="S14" s="9"/>
      <c r="T14" s="9"/>
      <c r="U14" s="9"/>
      <c r="V14" s="9"/>
      <c r="W14" s="9"/>
      <c r="X14" s="9"/>
      <c r="Y14" s="9"/>
      <c r="Z14" s="9"/>
    </row>
  </sheetData>
  <pageMargins left="0" right="0" top="0.39370000000000011" bottom="0.39370000000000011" header="0" footer="0"/>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
  <sheetViews>
    <sheetView workbookViewId="0">
      <selection activeCell="A4" sqref="A4:XFD10"/>
    </sheetView>
  </sheetViews>
  <sheetFormatPr defaultRowHeight="13.2"/>
  <cols>
    <col min="1" max="1024" width="12.21875" customWidth="1"/>
  </cols>
  <sheetData>
    <row r="1" spans="1:26" s="4" customFormat="1" ht="13.8">
      <c r="A1" s="37" t="s">
        <v>73</v>
      </c>
      <c r="B1" s="10"/>
      <c r="C1" s="10"/>
      <c r="D1" s="10"/>
      <c r="E1" s="10"/>
      <c r="F1" s="10"/>
      <c r="G1" s="10"/>
      <c r="H1" s="10"/>
      <c r="J1" s="9"/>
      <c r="K1" s="9"/>
      <c r="L1" s="9"/>
      <c r="M1" s="9"/>
      <c r="N1" s="9"/>
      <c r="O1" s="9"/>
      <c r="P1" s="9"/>
      <c r="Q1" s="9"/>
      <c r="R1" s="9"/>
      <c r="S1" s="9"/>
      <c r="T1" s="9"/>
      <c r="U1" s="9"/>
      <c r="V1" s="9"/>
      <c r="W1" s="9"/>
      <c r="X1" s="9"/>
      <c r="Y1" s="9"/>
      <c r="Z1" s="9"/>
    </row>
    <row r="2" spans="1:26" s="4" customFormat="1" ht="13.8">
      <c r="A2" s="38" t="s">
        <v>74</v>
      </c>
      <c r="B2" s="10"/>
      <c r="C2" s="10"/>
      <c r="D2" s="10"/>
      <c r="E2" s="10"/>
      <c r="F2" s="10"/>
      <c r="G2" s="10"/>
      <c r="H2" s="10"/>
      <c r="J2" s="9"/>
      <c r="K2" s="9"/>
      <c r="L2" s="9"/>
      <c r="M2" s="9"/>
      <c r="N2" s="9"/>
      <c r="O2" s="9"/>
      <c r="P2" s="9"/>
      <c r="Q2" s="9"/>
      <c r="R2" s="9"/>
      <c r="S2" s="9"/>
      <c r="T2" s="9"/>
      <c r="U2" s="9"/>
      <c r="V2" s="9"/>
      <c r="W2" s="9"/>
      <c r="X2" s="9"/>
      <c r="Y2" s="9"/>
      <c r="Z2" s="9"/>
    </row>
    <row r="3" spans="1:26" s="4" customFormat="1" ht="13.8">
      <c r="A3" s="38" t="s">
        <v>75</v>
      </c>
      <c r="B3" s="10"/>
      <c r="C3" s="10"/>
      <c r="D3" s="10"/>
      <c r="E3" s="10"/>
      <c r="F3" s="10"/>
      <c r="G3" s="10"/>
      <c r="H3" s="10"/>
      <c r="J3" s="9"/>
      <c r="K3" s="9"/>
      <c r="L3" s="9"/>
      <c r="M3" s="9"/>
      <c r="N3" s="9"/>
      <c r="O3" s="9"/>
      <c r="P3" s="9"/>
      <c r="Q3" s="9"/>
      <c r="R3" s="9"/>
      <c r="S3" s="9"/>
      <c r="T3" s="9"/>
      <c r="U3" s="9"/>
      <c r="V3" s="9"/>
      <c r="W3" s="9"/>
      <c r="X3" s="9"/>
      <c r="Y3" s="9"/>
      <c r="Z3" s="9"/>
    </row>
  </sheetData>
  <pageMargins left="0" right="0" top="0.39370000000000011" bottom="0.39370000000000011" header="0" footer="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8"/>
  <sheetViews>
    <sheetView workbookViewId="0">
      <selection activeCell="A8" sqref="A8:XFD8"/>
    </sheetView>
  </sheetViews>
  <sheetFormatPr defaultRowHeight="13.2"/>
  <cols>
    <col min="1" max="1" width="130.77734375" bestFit="1" customWidth="1"/>
    <col min="2" max="1024" width="12.21875" customWidth="1"/>
  </cols>
  <sheetData>
    <row r="1" spans="1:20" s="4" customFormat="1" ht="13.8">
      <c r="A1" s="37" t="s">
        <v>78</v>
      </c>
      <c r="D1" s="9"/>
      <c r="E1" s="9"/>
      <c r="F1" s="9"/>
      <c r="G1" s="9"/>
      <c r="H1" s="9"/>
      <c r="I1" s="9"/>
      <c r="J1" s="9"/>
      <c r="K1" s="9"/>
      <c r="L1" s="9"/>
      <c r="M1" s="9"/>
      <c r="N1" s="9"/>
      <c r="O1" s="9"/>
      <c r="P1" s="9"/>
      <c r="Q1" s="9"/>
      <c r="R1" s="9"/>
      <c r="S1" s="9"/>
      <c r="T1" s="9"/>
    </row>
    <row r="2" spans="1:20" s="4" customFormat="1" ht="13.8">
      <c r="A2" s="38" t="s">
        <v>81</v>
      </c>
      <c r="D2" s="9"/>
      <c r="E2" s="9"/>
      <c r="F2" s="9"/>
      <c r="G2" s="9"/>
      <c r="H2" s="9"/>
      <c r="I2" s="9"/>
      <c r="J2" s="9"/>
      <c r="K2" s="9"/>
      <c r="L2" s="9"/>
      <c r="M2" s="9"/>
      <c r="N2" s="9"/>
      <c r="O2" s="9"/>
      <c r="P2" s="9"/>
      <c r="Q2" s="9"/>
      <c r="R2" s="9"/>
      <c r="S2" s="9"/>
      <c r="T2" s="9"/>
    </row>
    <row r="3" spans="1:20" s="4" customFormat="1" ht="13.8">
      <c r="A3" s="39" t="s">
        <v>82</v>
      </c>
      <c r="D3" s="9"/>
      <c r="E3" s="9"/>
      <c r="F3" s="9"/>
      <c r="G3" s="9"/>
      <c r="H3" s="9"/>
      <c r="I3" s="9"/>
      <c r="J3" s="9"/>
      <c r="K3" s="9"/>
      <c r="L3" s="9"/>
      <c r="M3" s="9"/>
      <c r="N3" s="9"/>
      <c r="O3" s="9"/>
      <c r="P3" s="9"/>
      <c r="Q3" s="9"/>
      <c r="R3" s="9"/>
      <c r="S3" s="9"/>
      <c r="T3" s="9"/>
    </row>
    <row r="4" spans="1:20" ht="14.4">
      <c r="A4" s="40" t="s">
        <v>83</v>
      </c>
    </row>
    <row r="5" spans="1:20" ht="14.4">
      <c r="A5" s="40" t="s">
        <v>84</v>
      </c>
    </row>
    <row r="6" spans="1:20" ht="14.4">
      <c r="A6" s="40" t="s">
        <v>85</v>
      </c>
    </row>
    <row r="7" spans="1:20" ht="14.4">
      <c r="A7" s="40" t="s">
        <v>86</v>
      </c>
    </row>
    <row r="8" spans="1:20" ht="57.6">
      <c r="A8" s="41" t="s">
        <v>87</v>
      </c>
    </row>
  </sheetData>
  <pageMargins left="0" right="0" top="0.39370000000000011" bottom="0.39370000000000011" header="0" foot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372</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ALL_BY_GOVERNORATE</vt:lpstr>
      <vt:lpstr>ALL_BY_DISTRICT</vt:lpstr>
      <vt:lpstr>LEB_BY_GOVERNORATE</vt:lpstr>
      <vt:lpstr>LEB_BY_DISTRICT</vt:lpstr>
      <vt:lpstr>SYR_BY_GOVERNORATE</vt:lpstr>
      <vt:lpstr>SYR_BY_DISTRICT</vt:lpstr>
      <vt:lpstr>PAL_BY_GOVERNORATE</vt:lpstr>
      <vt:lpstr>PAL_BY_DISTRICT</vt:lpstr>
      <vt:lpstr>LEB_SOURCES</vt:lpstr>
      <vt:lpstr>PAL_SOURCES</vt:lpstr>
      <vt:lpstr>SYR_SOURCES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 Karnib</dc:creator>
  <cp:lastModifiedBy>Lenovo</cp:lastModifiedBy>
  <cp:revision>3</cp:revision>
  <dcterms:created xsi:type="dcterms:W3CDTF">2022-05-06T12:04:07Z</dcterms:created>
  <dcterms:modified xsi:type="dcterms:W3CDTF">2025-11-06T13:06:43Z</dcterms:modified>
</cp:coreProperties>
</file>